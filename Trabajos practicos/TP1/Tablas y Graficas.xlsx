
<file path=[Content_Types].xml><?xml version="1.0" encoding="utf-8"?>
<Types xmlns="http://schemas.openxmlformats.org/package/2006/content-types">
  <Default Extension="tmp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Mauricio Rabinovich\Ingeniería Naval\1C2026\FSP\TP1 Mediciones\"/>
    </mc:Choice>
  </mc:AlternateContent>
  <bookViews>
    <workbookView xWindow="0" yWindow="0" windowWidth="28740" windowHeight="11490" activeTab="1"/>
  </bookViews>
  <sheets>
    <sheet name="Hoja1" sheetId="1" r:id="rId1"/>
    <sheet name="Gráfica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F15" i="2"/>
  <c r="E15" i="2"/>
  <c r="D2" i="2"/>
  <c r="D16" i="2"/>
  <c r="D17" i="2"/>
  <c r="D18" i="2"/>
  <c r="D19" i="2"/>
  <c r="D20" i="2"/>
  <c r="D21" i="2"/>
  <c r="D22" i="2"/>
  <c r="D23" i="2"/>
  <c r="D24" i="2"/>
  <c r="D15" i="2"/>
  <c r="C24" i="2"/>
  <c r="C16" i="2"/>
  <c r="C17" i="2"/>
  <c r="C18" i="2"/>
  <c r="C19" i="2"/>
  <c r="C20" i="2"/>
  <c r="C21" i="2"/>
  <c r="C22" i="2"/>
  <c r="C23" i="2"/>
  <c r="C15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G12" i="2"/>
  <c r="G11" i="2"/>
  <c r="G10" i="2"/>
  <c r="G9" i="2"/>
  <c r="G8" i="2"/>
  <c r="G7" i="2"/>
  <c r="G6" i="2"/>
  <c r="G5" i="2"/>
  <c r="G4" i="2"/>
  <c r="G3" i="2"/>
  <c r="L13" i="1"/>
  <c r="D3" i="2"/>
  <c r="D4" i="2"/>
  <c r="D5" i="2"/>
  <c r="D6" i="2"/>
  <c r="D7" i="2"/>
  <c r="D8" i="2"/>
  <c r="D9" i="2"/>
  <c r="D10" i="2"/>
  <c r="D11" i="2"/>
  <c r="D12" i="2"/>
  <c r="C4" i="2"/>
  <c r="C5" i="2"/>
  <c r="C6" i="2"/>
  <c r="C7" i="2"/>
  <c r="C8" i="2"/>
  <c r="C9" i="2"/>
  <c r="C10" i="2"/>
  <c r="C11" i="2"/>
  <c r="C12" i="2"/>
  <c r="C3" i="2"/>
  <c r="F29" i="1"/>
  <c r="F30" i="1"/>
  <c r="F31" i="1"/>
  <c r="F32" i="1"/>
  <c r="F33" i="1"/>
  <c r="F34" i="1"/>
  <c r="F35" i="1"/>
  <c r="F36" i="1"/>
  <c r="F37" i="1"/>
  <c r="F38" i="1"/>
  <c r="F26" i="1" l="1"/>
  <c r="D26" i="1"/>
  <c r="B26" i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44" i="1"/>
  <c r="I44" i="1" s="1"/>
  <c r="C45" i="1"/>
  <c r="C46" i="1"/>
  <c r="C47" i="1"/>
  <c r="C48" i="1"/>
  <c r="C49" i="1"/>
  <c r="C50" i="1"/>
  <c r="C51" i="1"/>
  <c r="C52" i="1"/>
  <c r="C53" i="1"/>
  <c r="E45" i="1"/>
  <c r="E46" i="1"/>
  <c r="E47" i="1"/>
  <c r="E48" i="1"/>
  <c r="E49" i="1"/>
  <c r="E50" i="1"/>
  <c r="E51" i="1"/>
  <c r="E52" i="1"/>
  <c r="E53" i="1"/>
  <c r="E44" i="1"/>
  <c r="C44" i="1"/>
  <c r="N16" i="1"/>
  <c r="N3" i="1"/>
  <c r="J30" i="1"/>
  <c r="J31" i="1"/>
  <c r="J32" i="1"/>
  <c r="J33" i="1"/>
  <c r="J34" i="1"/>
  <c r="J35" i="1"/>
  <c r="J36" i="1"/>
  <c r="J37" i="1"/>
  <c r="J38" i="1"/>
  <c r="L30" i="1"/>
  <c r="L31" i="1"/>
  <c r="L32" i="1"/>
  <c r="L33" i="1"/>
  <c r="L34" i="1"/>
  <c r="L35" i="1"/>
  <c r="L36" i="1"/>
  <c r="L37" i="1"/>
  <c r="L38" i="1"/>
  <c r="L29" i="1"/>
  <c r="J29" i="1"/>
  <c r="D30" i="1"/>
  <c r="D31" i="1"/>
  <c r="D32" i="1"/>
  <c r="D33" i="1"/>
  <c r="D34" i="1"/>
  <c r="D35" i="1"/>
  <c r="D36" i="1"/>
  <c r="D37" i="1"/>
  <c r="D38" i="1"/>
  <c r="B30" i="1"/>
  <c r="B31" i="1"/>
  <c r="B32" i="1"/>
  <c r="B33" i="1"/>
  <c r="B34" i="1"/>
  <c r="B35" i="1"/>
  <c r="B36" i="1"/>
  <c r="B37" i="1"/>
  <c r="B38" i="1"/>
  <c r="D29" i="1"/>
  <c r="B29" i="1"/>
  <c r="N30" i="1"/>
  <c r="N31" i="1"/>
  <c r="N32" i="1"/>
  <c r="N33" i="1"/>
  <c r="N34" i="1"/>
  <c r="N35" i="1"/>
  <c r="N36" i="1"/>
  <c r="N37" i="1"/>
  <c r="N38" i="1"/>
  <c r="N29" i="1"/>
  <c r="C16" i="1"/>
  <c r="C17" i="1"/>
  <c r="C18" i="1"/>
  <c r="C19" i="1"/>
  <c r="C20" i="1"/>
  <c r="C21" i="1"/>
  <c r="C22" i="1"/>
  <c r="C23" i="1"/>
  <c r="C24" i="1"/>
  <c r="C25" i="1"/>
  <c r="C4" i="1"/>
  <c r="C5" i="1"/>
  <c r="C6" i="1"/>
  <c r="C7" i="1"/>
  <c r="C8" i="1"/>
  <c r="C9" i="1"/>
  <c r="C10" i="1"/>
  <c r="C11" i="1"/>
  <c r="C12" i="1"/>
  <c r="C3" i="1"/>
  <c r="G25" i="1"/>
  <c r="E25" i="1"/>
  <c r="M38" i="1" s="1"/>
  <c r="G24" i="1"/>
  <c r="E24" i="1"/>
  <c r="M37" i="1" s="1"/>
  <c r="G23" i="1"/>
  <c r="E23" i="1"/>
  <c r="M36" i="1" s="1"/>
  <c r="G22" i="1"/>
  <c r="E22" i="1"/>
  <c r="M35" i="1" s="1"/>
  <c r="G21" i="1"/>
  <c r="E21" i="1"/>
  <c r="M34" i="1" s="1"/>
  <c r="G20" i="1"/>
  <c r="E20" i="1"/>
  <c r="M33" i="1" s="1"/>
  <c r="G19" i="1"/>
  <c r="E19" i="1"/>
  <c r="M32" i="1" s="1"/>
  <c r="G18" i="1"/>
  <c r="E18" i="1"/>
  <c r="M31" i="1" s="1"/>
  <c r="G17" i="1"/>
  <c r="E17" i="1"/>
  <c r="M30" i="1" s="1"/>
  <c r="G16" i="1"/>
  <c r="E16" i="1"/>
  <c r="M29" i="1" s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3" i="1"/>
  <c r="G3" i="1"/>
  <c r="K13" i="1" l="1"/>
  <c r="J13" i="1"/>
  <c r="K26" i="1"/>
  <c r="J26" i="1"/>
  <c r="L26" i="1" s="1"/>
  <c r="K38" i="1"/>
  <c r="P38" i="1" s="1"/>
  <c r="K37" i="1"/>
  <c r="P37" i="1" s="1"/>
  <c r="O37" i="1" s="1"/>
  <c r="K36" i="1"/>
  <c r="P36" i="1" s="1"/>
  <c r="O36" i="1" s="1"/>
  <c r="K35" i="1"/>
  <c r="P35" i="1" s="1"/>
  <c r="O35" i="1" s="1"/>
  <c r="K34" i="1"/>
  <c r="P34" i="1" s="1"/>
  <c r="K33" i="1"/>
  <c r="P33" i="1" s="1"/>
  <c r="O33" i="1" s="1"/>
  <c r="K32" i="1"/>
  <c r="P32" i="1" s="1"/>
  <c r="O32" i="1" s="1"/>
  <c r="K31" i="1"/>
  <c r="P31" i="1" s="1"/>
  <c r="O31" i="1" s="1"/>
  <c r="K30" i="1"/>
  <c r="P30" i="1" s="1"/>
  <c r="K29" i="1"/>
  <c r="P29" i="1" s="1"/>
  <c r="O29" i="1" s="1"/>
  <c r="O38" i="1"/>
  <c r="O34" i="1"/>
  <c r="O30" i="1"/>
  <c r="E29" i="1"/>
  <c r="E38" i="1"/>
  <c r="E37" i="1"/>
  <c r="E36" i="1"/>
  <c r="E35" i="1"/>
  <c r="E34" i="1"/>
  <c r="E33" i="1"/>
  <c r="E32" i="1"/>
  <c r="E31" i="1"/>
  <c r="E30" i="1"/>
  <c r="C29" i="1"/>
  <c r="H29" i="1" s="1"/>
  <c r="G29" i="1" s="1"/>
  <c r="C38" i="1"/>
  <c r="H38" i="1" s="1"/>
  <c r="C37" i="1"/>
  <c r="H37" i="1" s="1"/>
  <c r="C36" i="1"/>
  <c r="H36" i="1" s="1"/>
  <c r="C35" i="1"/>
  <c r="H35" i="1" s="1"/>
  <c r="C34" i="1"/>
  <c r="H34" i="1" s="1"/>
  <c r="C33" i="1"/>
  <c r="H33" i="1" s="1"/>
  <c r="C32" i="1"/>
  <c r="H32" i="1" s="1"/>
  <c r="C31" i="1"/>
  <c r="H31" i="1" s="1"/>
  <c r="C30" i="1"/>
  <c r="H30" i="1" s="1"/>
  <c r="G38" i="1"/>
  <c r="G37" i="1"/>
  <c r="G36" i="1"/>
  <c r="G34" i="1"/>
  <c r="G33" i="1"/>
  <c r="G32" i="1"/>
  <c r="G30" i="1"/>
  <c r="G31" i="1" l="1"/>
  <c r="G35" i="1"/>
</calcChain>
</file>

<file path=xl/sharedStrings.xml><?xml version="1.0" encoding="utf-8"?>
<sst xmlns="http://schemas.openxmlformats.org/spreadsheetml/2006/main" count="71" uniqueCount="42">
  <si>
    <t>Regla</t>
  </si>
  <si>
    <t>Integrante</t>
  </si>
  <si>
    <t>diámetro interno (mm)</t>
  </si>
  <si>
    <t>e Dint</t>
  </si>
  <si>
    <t>diámetro externo (mm)</t>
  </si>
  <si>
    <t>e Dext</t>
  </si>
  <si>
    <t>h (mm)</t>
  </si>
  <si>
    <t>e h</t>
  </si>
  <si>
    <t>∆X (mm)</t>
  </si>
  <si>
    <t>Pi Regla</t>
  </si>
  <si>
    <t>Vo Regla</t>
  </si>
  <si>
    <t>DIo = 13mm</t>
  </si>
  <si>
    <t>DEo = 20mm</t>
  </si>
  <si>
    <t>Ho = 51mm</t>
  </si>
  <si>
    <t>Calibre</t>
  </si>
  <si>
    <t>Pi Calibre</t>
  </si>
  <si>
    <t>Vo Calibre</t>
  </si>
  <si>
    <t>DIo</t>
  </si>
  <si>
    <t>DEo</t>
  </si>
  <si>
    <t>Ho</t>
  </si>
  <si>
    <t>Vdi(cm3)</t>
  </si>
  <si>
    <t>eVdi</t>
  </si>
  <si>
    <t>Vde(cm3)</t>
  </si>
  <si>
    <t>eVde</t>
  </si>
  <si>
    <t>V(cm3)</t>
  </si>
  <si>
    <t>eV</t>
  </si>
  <si>
    <t>∆V (cm3)</t>
  </si>
  <si>
    <t>∆Vdi (cm3)</t>
  </si>
  <si>
    <t>∆Vde (cm3)</t>
  </si>
  <si>
    <t>Probeta</t>
  </si>
  <si>
    <t>Vi (cm3)</t>
  </si>
  <si>
    <t>eVi</t>
  </si>
  <si>
    <t>Vf (cm3)</t>
  </si>
  <si>
    <t>eVf</t>
  </si>
  <si>
    <t>Vpieza(cm3)</t>
  </si>
  <si>
    <t>eVpieza</t>
  </si>
  <si>
    <t>Vo=10cm3</t>
  </si>
  <si>
    <t xml:space="preserve">Se descarta integrante 4 </t>
  </si>
  <si>
    <t>Ve Rep</t>
  </si>
  <si>
    <t>Vi Rep</t>
  </si>
  <si>
    <t>Vn Rep</t>
  </si>
  <si>
    <t>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</si>
</sst>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"/>
    <numFmt numFmtId="166" formatCode="0.00000"/>
    <numFmt numFmtId="167" formatCode="0.000000"/>
    <numFmt numFmtId="168" formatCode="0.0"/>
    <numFmt numFmtId="169" formatCode="0.0000000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</font>
    <font>
      <sz val="12"/>
      <color theme="1"/>
      <name val="Arial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0" xfId="0" applyFont="1"/>
    <xf numFmtId="167" fontId="2" fillId="0" borderId="0" xfId="0" applyNumberFormat="1" applyFont="1"/>
    <xf numFmtId="168" fontId="1" fillId="0" borderId="1" xfId="0" applyNumberFormat="1" applyFont="1" applyBorder="1" applyAlignment="1">
      <alignment readingOrder="1"/>
    </xf>
    <xf numFmtId="0" fontId="1" fillId="0" borderId="1" xfId="0" applyFont="1" applyBorder="1" applyAlignment="1">
      <alignment horizontal="center" readingOrder="1"/>
    </xf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readingOrder="1"/>
    </xf>
    <xf numFmtId="165" fontId="1" fillId="0" borderId="1" xfId="0" applyNumberFormat="1" applyFont="1" applyBorder="1" applyAlignment="1">
      <alignment readingOrder="1"/>
    </xf>
    <xf numFmtId="166" fontId="1" fillId="0" borderId="1" xfId="0" applyNumberFormat="1" applyFont="1" applyBorder="1" applyAlignment="1">
      <alignment readingOrder="1"/>
    </xf>
    <xf numFmtId="167" fontId="1" fillId="0" borderId="1" xfId="0" applyNumberFormat="1" applyFont="1" applyBorder="1" applyAlignment="1">
      <alignment readingOrder="1"/>
    </xf>
    <xf numFmtId="167" fontId="1" fillId="0" borderId="1" xfId="0" applyNumberFormat="1" applyFont="1" applyBorder="1" applyAlignment="1">
      <alignment horizontal="center" readingOrder="1"/>
    </xf>
    <xf numFmtId="0" fontId="1" fillId="0" borderId="1" xfId="0" applyFont="1" applyBorder="1" applyAlignment="1">
      <alignment horizontal="center" vertical="center" wrapText="1" readingOrder="1"/>
    </xf>
    <xf numFmtId="168" fontId="2" fillId="0" borderId="0" xfId="0" applyNumberFormat="1" applyFont="1"/>
    <xf numFmtId="169" fontId="1" fillId="0" borderId="1" xfId="0" applyNumberFormat="1" applyFont="1" applyBorder="1" applyAlignment="1">
      <alignment readingOrder="1"/>
    </xf>
    <xf numFmtId="0" fontId="3" fillId="0" borderId="1" xfId="0" applyFont="1" applyBorder="1" applyAlignment="1">
      <alignment readingOrder="1"/>
    </xf>
    <xf numFmtId="166" fontId="3" fillId="0" borderId="1" xfId="0" applyNumberFormat="1" applyFont="1" applyBorder="1" applyAlignment="1">
      <alignment readingOrder="1"/>
    </xf>
    <xf numFmtId="166" fontId="2" fillId="0" borderId="0" xfId="0" applyNumberFormat="1" applyFont="1"/>
    <xf numFmtId="168" fontId="3" fillId="0" borderId="1" xfId="0" applyNumberFormat="1" applyFont="1" applyBorder="1" applyAlignment="1">
      <alignment readingOrder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readingOrder="1"/>
    </xf>
    <xf numFmtId="0" fontId="2" fillId="4" borderId="0" xfId="0" applyFont="1" applyFill="1"/>
    <xf numFmtId="0" fontId="1" fillId="0" borderId="0" xfId="0" applyFont="1" applyBorder="1" applyAlignment="1">
      <alignment horizontal="center" readingOrder="1"/>
    </xf>
    <xf numFmtId="168" fontId="1" fillId="0" borderId="0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46677664"/>
        <c:axId val="1746666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Gráficas!$C$2</c15:sqref>
                        </c15:formulaRef>
                      </c:ext>
                    </c:extLst>
                    <c:strCache>
                      <c:ptCount val="1"/>
                      <c:pt idx="0">
                        <c:v>V(cm3)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Gráficas!$B$3:$B$12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Gráficas!$C$3:$C$12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9.251030250000003</c:v>
                      </c:pt>
                      <c:pt idx="1">
                        <c:v>9.0696375000000025</c:v>
                      </c:pt>
                      <c:pt idx="2">
                        <c:v>8.1697410000000019</c:v>
                      </c:pt>
                      <c:pt idx="3">
                        <c:v>9.251030250000003</c:v>
                      </c:pt>
                      <c:pt idx="4">
                        <c:v>9.251030250000003</c:v>
                      </c:pt>
                      <c:pt idx="5">
                        <c:v>9.251030250000003</c:v>
                      </c:pt>
                      <c:pt idx="6">
                        <c:v>9.0696375000000025</c:v>
                      </c:pt>
                      <c:pt idx="7">
                        <c:v>9.0696375000000025</c:v>
                      </c:pt>
                      <c:pt idx="8">
                        <c:v>8.1697410000000019</c:v>
                      </c:pt>
                      <c:pt idx="9">
                        <c:v>8.0095500000000008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138-44F7-95C6-23D378E185DC}"/>
                  </c:ext>
                </c:extLst>
              </c15:ser>
            </c15:filteredBarSeries>
          </c:ext>
        </c:extLst>
      </c:barChart>
      <c:stockChart>
        <c:ser>
          <c:idx val="1"/>
          <c:order val="1"/>
          <c:tx>
            <c:strRef>
              <c:f>Gráficas!$E$2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Gráficas!$B$3:$B$12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Gráficas!$E$3:$E$12</c:f>
              <c:numCache>
                <c:formatCode>0.0</c:formatCode>
                <c:ptCount val="10"/>
                <c:pt idx="0">
                  <c:v>6.1610715000000029</c:v>
                </c:pt>
                <c:pt idx="1">
                  <c:v>6.0315052500000021</c:v>
                </c:pt>
                <c:pt idx="2">
                  <c:v>4.9784850000000018</c:v>
                </c:pt>
                <c:pt idx="3">
                  <c:v>6.1610715000000029</c:v>
                </c:pt>
                <c:pt idx="4">
                  <c:v>6.1610715000000029</c:v>
                </c:pt>
                <c:pt idx="5">
                  <c:v>6.1610715000000029</c:v>
                </c:pt>
                <c:pt idx="6">
                  <c:v>6.0315052500000021</c:v>
                </c:pt>
                <c:pt idx="7">
                  <c:v>6.0315052500000021</c:v>
                </c:pt>
                <c:pt idx="8">
                  <c:v>4.9784850000000018</c:v>
                </c:pt>
                <c:pt idx="9">
                  <c:v>4.8716910000000002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8-44F7-95C6-23D378E185DC}"/>
            </c:ext>
          </c:extLst>
        </c:ser>
        <c:ser>
          <c:idx val="2"/>
          <c:order val="2"/>
          <c:tx>
            <c:strRef>
              <c:f>Gráficas!$F$2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Gráficas!$B$3:$B$12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Gráficas!$F$3:$F$12</c:f>
              <c:numCache>
                <c:formatCode>0.0</c:formatCode>
                <c:ptCount val="10"/>
                <c:pt idx="0">
                  <c:v>12.340989000000004</c:v>
                </c:pt>
                <c:pt idx="1">
                  <c:v>12.107769750000003</c:v>
                </c:pt>
                <c:pt idx="2">
                  <c:v>11.360997000000001</c:v>
                </c:pt>
                <c:pt idx="3">
                  <c:v>12.340989000000004</c:v>
                </c:pt>
                <c:pt idx="4">
                  <c:v>12.340989000000004</c:v>
                </c:pt>
                <c:pt idx="5">
                  <c:v>12.340989000000004</c:v>
                </c:pt>
                <c:pt idx="6">
                  <c:v>12.107769750000003</c:v>
                </c:pt>
                <c:pt idx="7">
                  <c:v>12.107769750000003</c:v>
                </c:pt>
                <c:pt idx="8">
                  <c:v>11.360997000000001</c:v>
                </c:pt>
                <c:pt idx="9">
                  <c:v>11.147409000000001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8-44F7-95C6-23D378E185DC}"/>
            </c:ext>
          </c:extLst>
        </c:ser>
        <c:ser>
          <c:idx val="3"/>
          <c:order val="3"/>
          <c:tx>
            <c:strRef>
              <c:f>Gráficas!$G$2</c:f>
              <c:strCache>
                <c:ptCount val="1"/>
                <c:pt idx="0">
                  <c:v>Vo</c:v>
                </c:pt>
              </c:strCache>
            </c:strRef>
          </c:tx>
          <c:spPr>
            <a:ln w="31750" cap="sq" cmpd="sng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</c:marker>
          <c:cat>
            <c:strRef>
              <c:f>Gráficas!$B$2:$B$12</c:f>
              <c:strCache>
                <c:ptCount val="11"/>
                <c:pt idx="0">
                  <c:v>Integrante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Gráficas!$G$3:$G$12</c:f>
              <c:numCache>
                <c:formatCode>General</c:formatCode>
                <c:ptCount val="10"/>
                <c:pt idx="0">
                  <c:v>9.251030250000003</c:v>
                </c:pt>
                <c:pt idx="1">
                  <c:v>9.251030250000003</c:v>
                </c:pt>
                <c:pt idx="2">
                  <c:v>9.251030250000003</c:v>
                </c:pt>
                <c:pt idx="3">
                  <c:v>9.251030250000003</c:v>
                </c:pt>
                <c:pt idx="4">
                  <c:v>9.251030250000003</c:v>
                </c:pt>
                <c:pt idx="5">
                  <c:v>9.251030250000003</c:v>
                </c:pt>
                <c:pt idx="6">
                  <c:v>9.251030250000003</c:v>
                </c:pt>
                <c:pt idx="7">
                  <c:v>9.251030250000003</c:v>
                </c:pt>
                <c:pt idx="8">
                  <c:v>9.251030250000003</c:v>
                </c:pt>
                <c:pt idx="9">
                  <c:v>9.251030250000003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8-44F7-95C6-23D378E18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0" cap="flat" cmpd="sng" algn="ctr">
              <a:solidFill>
                <a:srgbClr val="FF0000">
                  <a:alpha val="50000"/>
                </a:srgbClr>
              </a:solidFill>
              <a:round/>
              <a:headEnd type="none" w="sm" len="sm"/>
            </a:ln>
            <a:effectLst/>
          </c:spPr>
        </c:hiLowLines>
        <c:axId val="1746680992"/>
        <c:axId val="1746672256"/>
      </c:stockChart>
      <c:catAx>
        <c:axId val="174667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66848"/>
        <c:crosses val="autoZero"/>
        <c:auto val="1"/>
        <c:lblAlgn val="ctr"/>
        <c:lblOffset val="100"/>
        <c:noMultiLvlLbl val="0"/>
      </c:catAx>
      <c:valAx>
        <c:axId val="1746666848"/>
        <c:scaling>
          <c:orientation val="minMax"/>
          <c:max val="1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746677664"/>
        <c:crosses val="autoZero"/>
        <c:crossBetween val="between"/>
      </c:valAx>
      <c:valAx>
        <c:axId val="1746672256"/>
        <c:scaling>
          <c:orientation val="minMax"/>
          <c:max val="12.5"/>
          <c:min val="4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Vólumen (Cm3)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in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80992"/>
        <c:crosses val="max"/>
        <c:crossBetween val="between"/>
        <c:majorUnit val="0.5"/>
        <c:minorUnit val="0.5"/>
      </c:valAx>
      <c:catAx>
        <c:axId val="174668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67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46677664"/>
        <c:axId val="1746666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Gráficas!$C$2</c15:sqref>
                        </c15:formulaRef>
                      </c:ext>
                    </c:extLst>
                    <c:strCache>
                      <c:ptCount val="1"/>
                      <c:pt idx="0">
                        <c:v>V(cm3)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Gráficas!$B$3:$B$12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Gráficas!$C$3:$C$12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9.251030250000003</c:v>
                      </c:pt>
                      <c:pt idx="1">
                        <c:v>9.0696375000000025</c:v>
                      </c:pt>
                      <c:pt idx="2">
                        <c:v>8.1697410000000019</c:v>
                      </c:pt>
                      <c:pt idx="3">
                        <c:v>9.251030250000003</c:v>
                      </c:pt>
                      <c:pt idx="4">
                        <c:v>9.251030250000003</c:v>
                      </c:pt>
                      <c:pt idx="5">
                        <c:v>9.251030250000003</c:v>
                      </c:pt>
                      <c:pt idx="6">
                        <c:v>9.0696375000000025</c:v>
                      </c:pt>
                      <c:pt idx="7">
                        <c:v>9.0696375000000025</c:v>
                      </c:pt>
                      <c:pt idx="8">
                        <c:v>8.1697410000000019</c:v>
                      </c:pt>
                      <c:pt idx="9">
                        <c:v>8.0095500000000008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D8C-4E0D-87C7-EF04AC7065D6}"/>
                  </c:ext>
                </c:extLst>
              </c15:ser>
            </c15:filteredBarSeries>
          </c:ext>
        </c:extLst>
      </c:barChart>
      <c:stockChart>
        <c:ser>
          <c:idx val="1"/>
          <c:order val="1"/>
          <c:tx>
            <c:strRef>
              <c:f>Gráficas!$E$2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Gráficas!$B$3:$B$12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Gráficas!$E$15:$E$24</c:f>
              <c:numCache>
                <c:formatCode>0.0</c:formatCode>
                <c:ptCount val="10"/>
                <c:pt idx="0">
                  <c:v>9.8000124439199983</c:v>
                </c:pt>
                <c:pt idx="1">
                  <c:v>9.9230427454439969</c:v>
                </c:pt>
                <c:pt idx="2">
                  <c:v>9.5156805558520823</c:v>
                </c:pt>
                <c:pt idx="3">
                  <c:v>9.6827220262579949</c:v>
                </c:pt>
                <c:pt idx="4">
                  <c:v>10.085616839857995</c:v>
                </c:pt>
                <c:pt idx="5">
                  <c:v>9.9503806517923987</c:v>
                </c:pt>
                <c:pt idx="6">
                  <c:v>9.5951038308655985</c:v>
                </c:pt>
                <c:pt idx="7">
                  <c:v>9.8386313557679976</c:v>
                </c:pt>
                <c:pt idx="8">
                  <c:v>9.6827220262579949</c:v>
                </c:pt>
                <c:pt idx="9">
                  <c:v>9.6827220262579949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C-4E0D-87C7-EF04AC7065D6}"/>
            </c:ext>
          </c:extLst>
        </c:ser>
        <c:ser>
          <c:idx val="2"/>
          <c:order val="2"/>
          <c:tx>
            <c:strRef>
              <c:f>Gráficas!$F$2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Gráficas!$B$3:$B$12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Gráficas!$F$15:$F$24</c:f>
              <c:numCache>
                <c:formatCode>0.0</c:formatCode>
                <c:ptCount val="10"/>
                <c:pt idx="0">
                  <c:v>9.9249949538399971</c:v>
                </c:pt>
                <c:pt idx="1">
                  <c:v>10.047833992535995</c:v>
                </c:pt>
                <c:pt idx="2">
                  <c:v>9.6391907280295221</c:v>
                </c:pt>
                <c:pt idx="3">
                  <c:v>9.8060107411819963</c:v>
                </c:pt>
                <c:pt idx="4">
                  <c:v>10.207312439581994</c:v>
                </c:pt>
                <c:pt idx="5">
                  <c:v>10.072388673999599</c:v>
                </c:pt>
                <c:pt idx="6">
                  <c:v>9.7189587615183992</c:v>
                </c:pt>
                <c:pt idx="7">
                  <c:v>9.9640335514319993</c:v>
                </c:pt>
                <c:pt idx="8">
                  <c:v>9.8060107411819963</c:v>
                </c:pt>
                <c:pt idx="9">
                  <c:v>9.8060107411819963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C-4E0D-87C7-EF04AC7065D6}"/>
            </c:ext>
          </c:extLst>
        </c:ser>
        <c:ser>
          <c:idx val="3"/>
          <c:order val="3"/>
          <c:tx>
            <c:strRef>
              <c:f>Gráficas!$G$2</c:f>
              <c:strCache>
                <c:ptCount val="1"/>
                <c:pt idx="0">
                  <c:v>Vo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Gráficas!$B$2:$B$12</c:f>
              <c:strCache>
                <c:ptCount val="11"/>
                <c:pt idx="0">
                  <c:v>Integrante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Gráficas!$G$15:$G$24</c:f>
              <c:numCache>
                <c:formatCode>General</c:formatCode>
                <c:ptCount val="10"/>
                <c:pt idx="0">
                  <c:v>9.8372925721115791</c:v>
                </c:pt>
                <c:pt idx="1">
                  <c:v>9.8372925721115791</c:v>
                </c:pt>
                <c:pt idx="2">
                  <c:v>9.8372925721115791</c:v>
                </c:pt>
                <c:pt idx="3">
                  <c:v>9.8372925721115791</c:v>
                </c:pt>
                <c:pt idx="4">
                  <c:v>9.8372925721115791</c:v>
                </c:pt>
                <c:pt idx="5">
                  <c:v>9.8372925721115791</c:v>
                </c:pt>
                <c:pt idx="6">
                  <c:v>9.8372925721115791</c:v>
                </c:pt>
                <c:pt idx="7">
                  <c:v>9.8372925721115791</c:v>
                </c:pt>
                <c:pt idx="8">
                  <c:v>9.8372925721115791</c:v>
                </c:pt>
                <c:pt idx="9">
                  <c:v>9.8372925721115791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C-4E0D-87C7-EF04AC706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0" cap="flat" cmpd="sng" algn="ctr">
              <a:solidFill>
                <a:srgbClr val="FF0000">
                  <a:alpha val="50000"/>
                </a:srgbClr>
              </a:solidFill>
              <a:round/>
              <a:headEnd type="none" w="sm" len="sm"/>
            </a:ln>
            <a:effectLst/>
          </c:spPr>
        </c:hiLowLines>
        <c:axId val="1746680992"/>
        <c:axId val="1746672256"/>
      </c:stockChart>
      <c:catAx>
        <c:axId val="174667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66848"/>
        <c:crosses val="autoZero"/>
        <c:auto val="1"/>
        <c:lblAlgn val="ctr"/>
        <c:lblOffset val="100"/>
        <c:noMultiLvlLbl val="0"/>
      </c:catAx>
      <c:valAx>
        <c:axId val="1746666848"/>
        <c:scaling>
          <c:orientation val="minMax"/>
          <c:max val="1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6677664"/>
        <c:crosses val="autoZero"/>
        <c:crossBetween val="between"/>
      </c:valAx>
      <c:valAx>
        <c:axId val="1746672256"/>
        <c:scaling>
          <c:orientation val="minMax"/>
          <c:max val="12.5"/>
          <c:min val="4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Vólumen (Cm3)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in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80992"/>
        <c:crosses val="max"/>
        <c:crossBetween val="between"/>
        <c:majorUnit val="0.5"/>
        <c:minorUnit val="0.5"/>
      </c:valAx>
      <c:catAx>
        <c:axId val="174668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67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32</xdr:row>
      <xdr:rowOff>123825</xdr:rowOff>
    </xdr:from>
    <xdr:to>
      <xdr:col>5</xdr:col>
      <xdr:colOff>438150</xdr:colOff>
      <xdr:row>33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81ECED-79E2-A943-A14A-A1BA282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325" y="70008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133350</xdr:colOff>
      <xdr:row>30</xdr:row>
      <xdr:rowOff>28575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EE65BCC-4E7C-4B5D-9E0A-8A5B2627EFDC}"/>
            </a:ext>
            <a:ext uri="{147F2762-F138-4A5C-976F-8EAC2B608ADB}">
              <a16:predDERef xmlns:a16="http://schemas.microsoft.com/office/drawing/2014/main" pred="{7881ECED-79E2-A943-A14A-A1BA282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133350</xdr:colOff>
      <xdr:row>31</xdr:row>
      <xdr:rowOff>28575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C9E934A-C68C-4622-9F12-544A3CA72D86}"/>
            </a:ext>
            <a:ext uri="{147F2762-F138-4A5C-976F-8EAC2B608ADB}">
              <a16:predDERef xmlns:a16="http://schemas.microsoft.com/office/drawing/2014/main" pred="{0EE65BCC-4E7C-4B5D-9E0A-8A5B2627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133350</xdr:colOff>
      <xdr:row>32</xdr:row>
      <xdr:rowOff>28575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21950AA2-6E1C-4B47-AE60-E41CBDB2C4E1}"/>
            </a:ext>
            <a:ext uri="{147F2762-F138-4A5C-976F-8EAC2B608ADB}">
              <a16:predDERef xmlns:a16="http://schemas.microsoft.com/office/drawing/2014/main" pred="{4C9E934A-C68C-4622-9F12-544A3CA7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133350</xdr:colOff>
      <xdr:row>33</xdr:row>
      <xdr:rowOff>28575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A4A1A0E1-6E26-4235-8E20-CFD84C1548E6}"/>
            </a:ext>
            <a:ext uri="{147F2762-F138-4A5C-976F-8EAC2B608ADB}">
              <a16:predDERef xmlns:a16="http://schemas.microsoft.com/office/drawing/2014/main" pred="{21950AA2-6E1C-4B47-AE60-E41CBDB2C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133350</xdr:colOff>
      <xdr:row>34</xdr:row>
      <xdr:rowOff>28575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21B3434C-69F1-44D4-B1F3-459B452DACC6}"/>
            </a:ext>
            <a:ext uri="{147F2762-F138-4A5C-976F-8EAC2B608ADB}">
              <a16:predDERef xmlns:a16="http://schemas.microsoft.com/office/drawing/2014/main" pred="{A4A1A0E1-6E26-4235-8E20-CFD84C15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133350</xdr:colOff>
      <xdr:row>35</xdr:row>
      <xdr:rowOff>28575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1E1D0B61-ECE8-497A-B451-FC94771B0C1C}"/>
            </a:ext>
            <a:ext uri="{147F2762-F138-4A5C-976F-8EAC2B608ADB}">
              <a16:predDERef xmlns:a16="http://schemas.microsoft.com/office/drawing/2014/main" pred="{21B3434C-69F1-44D4-B1F3-459B452D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133350</xdr:colOff>
      <xdr:row>36</xdr:row>
      <xdr:rowOff>28575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1EF59B2E-482D-4926-B5AF-3C35728D3E6B}"/>
            </a:ext>
            <a:ext uri="{147F2762-F138-4A5C-976F-8EAC2B608ADB}">
              <a16:predDERef xmlns:a16="http://schemas.microsoft.com/office/drawing/2014/main" pred="{1E1D0B61-ECE8-497A-B451-FC94771B0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133350</xdr:colOff>
      <xdr:row>37</xdr:row>
      <xdr:rowOff>28575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EDE6174E-3B5C-4D53-B6EC-6B2CD9C016AB}"/>
            </a:ext>
            <a:ext uri="{147F2762-F138-4A5C-976F-8EAC2B608ADB}">
              <a16:predDERef xmlns:a16="http://schemas.microsoft.com/office/drawing/2014/main" pred="{1EF59B2E-482D-4926-B5AF-3C35728D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133350</xdr:colOff>
      <xdr:row>38</xdr:row>
      <xdr:rowOff>28575</xdr:rowOff>
    </xdr:to>
    <xdr:pic>
      <xdr:nvPicPr>
        <xdr:cNvPr id="11" name="Imagen 1">
          <a:extLst>
            <a:ext uri="{FF2B5EF4-FFF2-40B4-BE49-F238E27FC236}">
              <a16:creationId xmlns:a16="http://schemas.microsoft.com/office/drawing/2014/main" id="{E50A4633-31DA-42BE-8516-F52390A3B765}"/>
            </a:ext>
            <a:ext uri="{147F2762-F138-4A5C-976F-8EAC2B608ADB}">
              <a16:predDERef xmlns:a16="http://schemas.microsoft.com/office/drawing/2014/main" pred="{EDE6174E-3B5C-4D53-B6EC-6B2CD9C01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133350</xdr:colOff>
      <xdr:row>3</xdr:row>
      <xdr:rowOff>38100</xdr:rowOff>
    </xdr:to>
    <xdr:pic>
      <xdr:nvPicPr>
        <xdr:cNvPr id="12" name="Imagen 1">
          <a:extLst>
            <a:ext uri="{FF2B5EF4-FFF2-40B4-BE49-F238E27FC236}">
              <a16:creationId xmlns:a16="http://schemas.microsoft.com/office/drawing/2014/main" id="{FCC7CF2D-CB79-41DD-A6BD-0F26BABE6697}"/>
            </a:ext>
            <a:ext uri="{147F2762-F138-4A5C-976F-8EAC2B608ADB}">
              <a16:predDERef xmlns:a16="http://schemas.microsoft.com/office/drawing/2014/main" pred="{E50A4633-31DA-42BE-8516-F52390A3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13" name="Imagen 1">
          <a:extLst>
            <a:ext uri="{FF2B5EF4-FFF2-40B4-BE49-F238E27FC236}">
              <a16:creationId xmlns:a16="http://schemas.microsoft.com/office/drawing/2014/main" id="{C2B8D635-AA2F-4CB9-B162-7BA27525ACBC}"/>
            </a:ext>
            <a:ext uri="{147F2762-F138-4A5C-976F-8EAC2B608ADB}">
              <a16:predDERef xmlns:a16="http://schemas.microsoft.com/office/drawing/2014/main" pred="{FCC7CF2D-CB79-41DD-A6BD-0F26BABE6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14" name="Imagen 1">
          <a:extLst>
            <a:ext uri="{FF2B5EF4-FFF2-40B4-BE49-F238E27FC236}">
              <a16:creationId xmlns:a16="http://schemas.microsoft.com/office/drawing/2014/main" id="{8D1597C8-56F3-4B99-830C-A07557C968DD}"/>
            </a:ext>
            <a:ext uri="{147F2762-F138-4A5C-976F-8EAC2B608ADB}">
              <a16:predDERef xmlns:a16="http://schemas.microsoft.com/office/drawing/2014/main" pred="{C2B8D635-AA2F-4CB9-B162-7BA27525A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15" name="Imagen 1">
          <a:extLst>
            <a:ext uri="{FF2B5EF4-FFF2-40B4-BE49-F238E27FC236}">
              <a16:creationId xmlns:a16="http://schemas.microsoft.com/office/drawing/2014/main" id="{AAD5582C-5099-4D23-A133-0C7C9109BD39}"/>
            </a:ext>
            <a:ext uri="{147F2762-F138-4A5C-976F-8EAC2B608ADB}">
              <a16:predDERef xmlns:a16="http://schemas.microsoft.com/office/drawing/2014/main" pred="{8D1597C8-56F3-4B99-830C-A07557C9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16" name="Imagen 1">
          <a:extLst>
            <a:ext uri="{FF2B5EF4-FFF2-40B4-BE49-F238E27FC236}">
              <a16:creationId xmlns:a16="http://schemas.microsoft.com/office/drawing/2014/main" id="{8F60F71C-7B84-45B1-9DC6-952CFF8452E7}"/>
            </a:ext>
            <a:ext uri="{147F2762-F138-4A5C-976F-8EAC2B608ADB}">
              <a16:predDERef xmlns:a16="http://schemas.microsoft.com/office/drawing/2014/main" pred="{AAD5582C-5099-4D23-A133-0C7C9109B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17" name="Imagen 1">
          <a:extLst>
            <a:ext uri="{FF2B5EF4-FFF2-40B4-BE49-F238E27FC236}">
              <a16:creationId xmlns:a16="http://schemas.microsoft.com/office/drawing/2014/main" id="{28FD0BB7-4047-46B0-AC6A-CE367A16E0FD}"/>
            </a:ext>
            <a:ext uri="{147F2762-F138-4A5C-976F-8EAC2B608ADB}">
              <a16:predDERef xmlns:a16="http://schemas.microsoft.com/office/drawing/2014/main" pred="{8F60F71C-7B84-45B1-9DC6-952CFF845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18" name="Imagen 1">
          <a:extLst>
            <a:ext uri="{FF2B5EF4-FFF2-40B4-BE49-F238E27FC236}">
              <a16:creationId xmlns:a16="http://schemas.microsoft.com/office/drawing/2014/main" id="{DB71D57B-8794-405F-B3EB-CEB496442A0F}"/>
            </a:ext>
            <a:ext uri="{147F2762-F138-4A5C-976F-8EAC2B608ADB}">
              <a16:predDERef xmlns:a16="http://schemas.microsoft.com/office/drawing/2014/main" pred="{28FD0BB7-4047-46B0-AC6A-CE367A16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FEF4A68B-A61B-45EC-B7D2-23A47BCE4BDA}"/>
            </a:ext>
            <a:ext uri="{147F2762-F138-4A5C-976F-8EAC2B608ADB}">
              <a16:predDERef xmlns:a16="http://schemas.microsoft.com/office/drawing/2014/main" pred="{DB71D57B-8794-405F-B3EB-CEB49644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BA89479D-DA21-4D25-8198-D029EFEE017B}"/>
            </a:ext>
            <a:ext uri="{147F2762-F138-4A5C-976F-8EAC2B608ADB}">
              <a16:predDERef xmlns:a16="http://schemas.microsoft.com/office/drawing/2014/main" pred="{FEF4A68B-A61B-45EC-B7D2-23A47BCE4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21" name="Imagen 1">
          <a:extLst>
            <a:ext uri="{FF2B5EF4-FFF2-40B4-BE49-F238E27FC236}">
              <a16:creationId xmlns:a16="http://schemas.microsoft.com/office/drawing/2014/main" id="{F3FCDAAE-4EA6-4331-99B0-CC18CF8375A4}"/>
            </a:ext>
            <a:ext uri="{147F2762-F138-4A5C-976F-8EAC2B608ADB}">
              <a16:predDERef xmlns:a16="http://schemas.microsoft.com/office/drawing/2014/main" pred="{BA89479D-DA21-4D25-8198-D029EFEE0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133350</xdr:colOff>
      <xdr:row>3</xdr:row>
      <xdr:rowOff>38100</xdr:rowOff>
    </xdr:to>
    <xdr:pic>
      <xdr:nvPicPr>
        <xdr:cNvPr id="22" name="Imagen 1">
          <a:extLst>
            <a:ext uri="{FF2B5EF4-FFF2-40B4-BE49-F238E27FC236}">
              <a16:creationId xmlns:a16="http://schemas.microsoft.com/office/drawing/2014/main" id="{27468DC4-8DA0-46ED-9BC2-FBFD325D2057}"/>
            </a:ext>
            <a:ext uri="{147F2762-F138-4A5C-976F-8EAC2B608ADB}">
              <a16:predDERef xmlns:a16="http://schemas.microsoft.com/office/drawing/2014/main" pred="{F3FCDAAE-4EA6-4331-99B0-CC18CF83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133350</xdr:colOff>
      <xdr:row>4</xdr:row>
      <xdr:rowOff>38100</xdr:rowOff>
    </xdr:to>
    <xdr:pic>
      <xdr:nvPicPr>
        <xdr:cNvPr id="23" name="Imagen 1">
          <a:extLst>
            <a:ext uri="{FF2B5EF4-FFF2-40B4-BE49-F238E27FC236}">
              <a16:creationId xmlns:a16="http://schemas.microsoft.com/office/drawing/2014/main" id="{609089C2-3042-4DDA-BAEA-C6B4061928E3}"/>
            </a:ext>
            <a:ext uri="{147F2762-F138-4A5C-976F-8EAC2B608ADB}">
              <a16:predDERef xmlns:a16="http://schemas.microsoft.com/office/drawing/2014/main" pred="{27468DC4-8DA0-46ED-9BC2-FBFD325D2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133350</xdr:colOff>
      <xdr:row>5</xdr:row>
      <xdr:rowOff>38100</xdr:rowOff>
    </xdr:to>
    <xdr:pic>
      <xdr:nvPicPr>
        <xdr:cNvPr id="24" name="Imagen 1">
          <a:extLst>
            <a:ext uri="{FF2B5EF4-FFF2-40B4-BE49-F238E27FC236}">
              <a16:creationId xmlns:a16="http://schemas.microsoft.com/office/drawing/2014/main" id="{8A8966AB-15C5-426E-8CDB-8FE913895DC3}"/>
            </a:ext>
            <a:ext uri="{147F2762-F138-4A5C-976F-8EAC2B608ADB}">
              <a16:predDERef xmlns:a16="http://schemas.microsoft.com/office/drawing/2014/main" pred="{609089C2-3042-4DDA-BAEA-C6B406192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133350</xdr:colOff>
      <xdr:row>6</xdr:row>
      <xdr:rowOff>38100</xdr:rowOff>
    </xdr:to>
    <xdr:pic>
      <xdr:nvPicPr>
        <xdr:cNvPr id="25" name="Imagen 1">
          <a:extLst>
            <a:ext uri="{FF2B5EF4-FFF2-40B4-BE49-F238E27FC236}">
              <a16:creationId xmlns:a16="http://schemas.microsoft.com/office/drawing/2014/main" id="{CD7333AD-B331-42A2-AA5D-3DA197C3BCB3}"/>
            </a:ext>
            <a:ext uri="{147F2762-F138-4A5C-976F-8EAC2B608ADB}">
              <a16:predDERef xmlns:a16="http://schemas.microsoft.com/office/drawing/2014/main" pred="{8A8966AB-15C5-426E-8CDB-8FE91389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133350</xdr:colOff>
      <xdr:row>7</xdr:row>
      <xdr:rowOff>38100</xdr:rowOff>
    </xdr:to>
    <xdr:pic>
      <xdr:nvPicPr>
        <xdr:cNvPr id="26" name="Imagen 1">
          <a:extLst>
            <a:ext uri="{FF2B5EF4-FFF2-40B4-BE49-F238E27FC236}">
              <a16:creationId xmlns:a16="http://schemas.microsoft.com/office/drawing/2014/main" id="{889F9E87-E2F5-4B02-9671-C024BC60441A}"/>
            </a:ext>
            <a:ext uri="{147F2762-F138-4A5C-976F-8EAC2B608ADB}">
              <a16:predDERef xmlns:a16="http://schemas.microsoft.com/office/drawing/2014/main" pred="{CD7333AD-B331-42A2-AA5D-3DA197C3B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133350</xdr:colOff>
      <xdr:row>8</xdr:row>
      <xdr:rowOff>38100</xdr:rowOff>
    </xdr:to>
    <xdr:pic>
      <xdr:nvPicPr>
        <xdr:cNvPr id="27" name="Imagen 1">
          <a:extLst>
            <a:ext uri="{FF2B5EF4-FFF2-40B4-BE49-F238E27FC236}">
              <a16:creationId xmlns:a16="http://schemas.microsoft.com/office/drawing/2014/main" id="{5641A645-45A9-48AB-A358-A3A93C9F6860}"/>
            </a:ext>
            <a:ext uri="{147F2762-F138-4A5C-976F-8EAC2B608ADB}">
              <a16:predDERef xmlns:a16="http://schemas.microsoft.com/office/drawing/2014/main" pred="{889F9E87-E2F5-4B02-9671-C024BC604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133350</xdr:colOff>
      <xdr:row>9</xdr:row>
      <xdr:rowOff>38100</xdr:rowOff>
    </xdr:to>
    <xdr:pic>
      <xdr:nvPicPr>
        <xdr:cNvPr id="28" name="Imagen 1">
          <a:extLst>
            <a:ext uri="{FF2B5EF4-FFF2-40B4-BE49-F238E27FC236}">
              <a16:creationId xmlns:a16="http://schemas.microsoft.com/office/drawing/2014/main" id="{FC5F992C-5366-4F91-A9B9-88FDBBD68694}"/>
            </a:ext>
            <a:ext uri="{147F2762-F138-4A5C-976F-8EAC2B608ADB}">
              <a16:predDERef xmlns:a16="http://schemas.microsoft.com/office/drawing/2014/main" pred="{5641A645-45A9-48AB-A358-A3A93C9F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133350</xdr:colOff>
      <xdr:row>10</xdr:row>
      <xdr:rowOff>28575</xdr:rowOff>
    </xdr:to>
    <xdr:pic>
      <xdr:nvPicPr>
        <xdr:cNvPr id="29" name="Imagen 1">
          <a:extLst>
            <a:ext uri="{FF2B5EF4-FFF2-40B4-BE49-F238E27FC236}">
              <a16:creationId xmlns:a16="http://schemas.microsoft.com/office/drawing/2014/main" id="{09425535-3CC3-4DDC-A67E-98BA7AC3533B}"/>
            </a:ext>
            <a:ext uri="{147F2762-F138-4A5C-976F-8EAC2B608ADB}">
              <a16:predDERef xmlns:a16="http://schemas.microsoft.com/office/drawing/2014/main" pred="{FC5F992C-5366-4F91-A9B9-88FDBBD6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133350</xdr:colOff>
      <xdr:row>11</xdr:row>
      <xdr:rowOff>28575</xdr:rowOff>
    </xdr:to>
    <xdr:pic>
      <xdr:nvPicPr>
        <xdr:cNvPr id="30" name="Imagen 1">
          <a:extLst>
            <a:ext uri="{FF2B5EF4-FFF2-40B4-BE49-F238E27FC236}">
              <a16:creationId xmlns:a16="http://schemas.microsoft.com/office/drawing/2014/main" id="{D6FFCC5B-C6C6-423B-93EA-A22CC4E30105}"/>
            </a:ext>
            <a:ext uri="{147F2762-F138-4A5C-976F-8EAC2B608ADB}">
              <a16:predDERef xmlns:a16="http://schemas.microsoft.com/office/drawing/2014/main" pred="{09425535-3CC3-4DDC-A67E-98BA7AC3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133350</xdr:colOff>
      <xdr:row>12</xdr:row>
      <xdr:rowOff>28575</xdr:rowOff>
    </xdr:to>
    <xdr:pic>
      <xdr:nvPicPr>
        <xdr:cNvPr id="31" name="Imagen 1">
          <a:extLst>
            <a:ext uri="{FF2B5EF4-FFF2-40B4-BE49-F238E27FC236}">
              <a16:creationId xmlns:a16="http://schemas.microsoft.com/office/drawing/2014/main" id="{E6CA00E9-2B34-4D6F-89F9-CFA2A2F323E8}"/>
            </a:ext>
            <a:ext uri="{147F2762-F138-4A5C-976F-8EAC2B608ADB}">
              <a16:predDERef xmlns:a16="http://schemas.microsoft.com/office/drawing/2014/main" pred="{D6FFCC5B-C6C6-423B-93EA-A22CC4E3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133350</xdr:colOff>
      <xdr:row>3</xdr:row>
      <xdr:rowOff>38100</xdr:rowOff>
    </xdr:to>
    <xdr:pic>
      <xdr:nvPicPr>
        <xdr:cNvPr id="32" name="Imagen 1">
          <a:extLst>
            <a:ext uri="{FF2B5EF4-FFF2-40B4-BE49-F238E27FC236}">
              <a16:creationId xmlns:a16="http://schemas.microsoft.com/office/drawing/2014/main" id="{898F6257-5771-4AE0-A854-CD128DE4396E}"/>
            </a:ext>
            <a:ext uri="{147F2762-F138-4A5C-976F-8EAC2B608ADB}">
              <a16:predDERef xmlns:a16="http://schemas.microsoft.com/office/drawing/2014/main" pred="{E6CA00E9-2B34-4D6F-89F9-CFA2A2F3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133350</xdr:colOff>
      <xdr:row>4</xdr:row>
      <xdr:rowOff>38100</xdr:rowOff>
    </xdr:to>
    <xdr:pic>
      <xdr:nvPicPr>
        <xdr:cNvPr id="33" name="Imagen 1">
          <a:extLst>
            <a:ext uri="{FF2B5EF4-FFF2-40B4-BE49-F238E27FC236}">
              <a16:creationId xmlns:a16="http://schemas.microsoft.com/office/drawing/2014/main" id="{E1836E7D-C7D8-4086-ABDF-DEECB614896F}"/>
            </a:ext>
            <a:ext uri="{147F2762-F138-4A5C-976F-8EAC2B608ADB}">
              <a16:predDERef xmlns:a16="http://schemas.microsoft.com/office/drawing/2014/main" pred="{898F6257-5771-4AE0-A854-CD128DE43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133350</xdr:colOff>
      <xdr:row>5</xdr:row>
      <xdr:rowOff>38100</xdr:rowOff>
    </xdr:to>
    <xdr:pic>
      <xdr:nvPicPr>
        <xdr:cNvPr id="34" name="Imagen 1">
          <a:extLst>
            <a:ext uri="{FF2B5EF4-FFF2-40B4-BE49-F238E27FC236}">
              <a16:creationId xmlns:a16="http://schemas.microsoft.com/office/drawing/2014/main" id="{710E4D0B-B34B-4504-AE80-26856E7393F4}"/>
            </a:ext>
            <a:ext uri="{147F2762-F138-4A5C-976F-8EAC2B608ADB}">
              <a16:predDERef xmlns:a16="http://schemas.microsoft.com/office/drawing/2014/main" pred="{E1836E7D-C7D8-4086-ABDF-DEECB614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133350</xdr:colOff>
      <xdr:row>6</xdr:row>
      <xdr:rowOff>38100</xdr:rowOff>
    </xdr:to>
    <xdr:pic>
      <xdr:nvPicPr>
        <xdr:cNvPr id="35" name="Imagen 1">
          <a:extLst>
            <a:ext uri="{FF2B5EF4-FFF2-40B4-BE49-F238E27FC236}">
              <a16:creationId xmlns:a16="http://schemas.microsoft.com/office/drawing/2014/main" id="{1C4861AB-6D8B-43BE-A718-7BE7AD98CA2C}"/>
            </a:ext>
            <a:ext uri="{147F2762-F138-4A5C-976F-8EAC2B608ADB}">
              <a16:predDERef xmlns:a16="http://schemas.microsoft.com/office/drawing/2014/main" pred="{710E4D0B-B34B-4504-AE80-26856E739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133350</xdr:colOff>
      <xdr:row>7</xdr:row>
      <xdr:rowOff>38100</xdr:rowOff>
    </xdr:to>
    <xdr:pic>
      <xdr:nvPicPr>
        <xdr:cNvPr id="36" name="Imagen 1">
          <a:extLst>
            <a:ext uri="{FF2B5EF4-FFF2-40B4-BE49-F238E27FC236}">
              <a16:creationId xmlns:a16="http://schemas.microsoft.com/office/drawing/2014/main" id="{C8B91CB3-D323-4B2E-BC77-CB00281ECA13}"/>
            </a:ext>
            <a:ext uri="{147F2762-F138-4A5C-976F-8EAC2B608ADB}">
              <a16:predDERef xmlns:a16="http://schemas.microsoft.com/office/drawing/2014/main" pred="{1C4861AB-6D8B-43BE-A718-7BE7AD98C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133350</xdr:colOff>
      <xdr:row>8</xdr:row>
      <xdr:rowOff>38100</xdr:rowOff>
    </xdr:to>
    <xdr:pic>
      <xdr:nvPicPr>
        <xdr:cNvPr id="37" name="Imagen 1">
          <a:extLst>
            <a:ext uri="{FF2B5EF4-FFF2-40B4-BE49-F238E27FC236}">
              <a16:creationId xmlns:a16="http://schemas.microsoft.com/office/drawing/2014/main" id="{32E1CCA3-2DF2-484D-A69D-AAC70C84E146}"/>
            </a:ext>
            <a:ext uri="{147F2762-F138-4A5C-976F-8EAC2B608ADB}">
              <a16:predDERef xmlns:a16="http://schemas.microsoft.com/office/drawing/2014/main" pred="{C8B91CB3-D323-4B2E-BC77-CB00281EC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133350</xdr:colOff>
      <xdr:row>9</xdr:row>
      <xdr:rowOff>38100</xdr:rowOff>
    </xdr:to>
    <xdr:pic>
      <xdr:nvPicPr>
        <xdr:cNvPr id="38" name="Imagen 1">
          <a:extLst>
            <a:ext uri="{FF2B5EF4-FFF2-40B4-BE49-F238E27FC236}">
              <a16:creationId xmlns:a16="http://schemas.microsoft.com/office/drawing/2014/main" id="{6E9425FC-D8F9-4DB1-A5BE-B845EEFEE296}"/>
            </a:ext>
            <a:ext uri="{147F2762-F138-4A5C-976F-8EAC2B608ADB}">
              <a16:predDERef xmlns:a16="http://schemas.microsoft.com/office/drawing/2014/main" pred="{32E1CCA3-2DF2-484D-A69D-AAC70C84E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133350</xdr:colOff>
      <xdr:row>10</xdr:row>
      <xdr:rowOff>28575</xdr:rowOff>
    </xdr:to>
    <xdr:pic>
      <xdr:nvPicPr>
        <xdr:cNvPr id="39" name="Imagen 1">
          <a:extLst>
            <a:ext uri="{FF2B5EF4-FFF2-40B4-BE49-F238E27FC236}">
              <a16:creationId xmlns:a16="http://schemas.microsoft.com/office/drawing/2014/main" id="{3CD58C04-4237-47B6-95A7-96318566FBFD}"/>
            </a:ext>
            <a:ext uri="{147F2762-F138-4A5C-976F-8EAC2B608ADB}">
              <a16:predDERef xmlns:a16="http://schemas.microsoft.com/office/drawing/2014/main" pred="{6E9425FC-D8F9-4DB1-A5BE-B845EEFE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133350</xdr:colOff>
      <xdr:row>11</xdr:row>
      <xdr:rowOff>28575</xdr:rowOff>
    </xdr:to>
    <xdr:pic>
      <xdr:nvPicPr>
        <xdr:cNvPr id="40" name="Imagen 1">
          <a:extLst>
            <a:ext uri="{FF2B5EF4-FFF2-40B4-BE49-F238E27FC236}">
              <a16:creationId xmlns:a16="http://schemas.microsoft.com/office/drawing/2014/main" id="{EC778D81-4947-4168-8692-39C0DB4C7566}"/>
            </a:ext>
            <a:ext uri="{147F2762-F138-4A5C-976F-8EAC2B608ADB}">
              <a16:predDERef xmlns:a16="http://schemas.microsoft.com/office/drawing/2014/main" pred="{3CD58C04-4237-47B6-95A7-96318566F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133350</xdr:colOff>
      <xdr:row>12</xdr:row>
      <xdr:rowOff>28575</xdr:rowOff>
    </xdr:to>
    <xdr:pic>
      <xdr:nvPicPr>
        <xdr:cNvPr id="41" name="Imagen 1">
          <a:extLst>
            <a:ext uri="{FF2B5EF4-FFF2-40B4-BE49-F238E27FC236}">
              <a16:creationId xmlns:a16="http://schemas.microsoft.com/office/drawing/2014/main" id="{FED17A82-923D-4701-8446-D798EAA14586}"/>
            </a:ext>
            <a:ext uri="{147F2762-F138-4A5C-976F-8EAC2B608ADB}">
              <a16:predDERef xmlns:a16="http://schemas.microsoft.com/office/drawing/2014/main" pred="{EC778D81-4947-4168-8692-39C0DB4C7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133350</xdr:colOff>
      <xdr:row>3</xdr:row>
      <xdr:rowOff>38100</xdr:rowOff>
    </xdr:to>
    <xdr:pic>
      <xdr:nvPicPr>
        <xdr:cNvPr id="42" name="Imagen 1">
          <a:extLst>
            <a:ext uri="{FF2B5EF4-FFF2-40B4-BE49-F238E27FC236}">
              <a16:creationId xmlns:a16="http://schemas.microsoft.com/office/drawing/2014/main" id="{A3B0D103-0B3F-441C-8B36-38729F103E03}"/>
            </a:ext>
            <a:ext uri="{147F2762-F138-4A5C-976F-8EAC2B608ADB}">
              <a16:predDERef xmlns:a16="http://schemas.microsoft.com/office/drawing/2014/main" pred="{FED17A82-923D-4701-8446-D798EAA1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43" name="Imagen 1">
          <a:extLst>
            <a:ext uri="{FF2B5EF4-FFF2-40B4-BE49-F238E27FC236}">
              <a16:creationId xmlns:a16="http://schemas.microsoft.com/office/drawing/2014/main" id="{E671C440-9EDD-4447-9F5A-BD56ABC127BA}"/>
            </a:ext>
            <a:ext uri="{147F2762-F138-4A5C-976F-8EAC2B608ADB}">
              <a16:predDERef xmlns:a16="http://schemas.microsoft.com/office/drawing/2014/main" pred="{A3B0D103-0B3F-441C-8B36-38729F103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44" name="Imagen 1">
          <a:extLst>
            <a:ext uri="{FF2B5EF4-FFF2-40B4-BE49-F238E27FC236}">
              <a16:creationId xmlns:a16="http://schemas.microsoft.com/office/drawing/2014/main" id="{30B46F54-5D6E-40F1-9911-64DD7C45DF3C}"/>
            </a:ext>
            <a:ext uri="{147F2762-F138-4A5C-976F-8EAC2B608ADB}">
              <a16:predDERef xmlns:a16="http://schemas.microsoft.com/office/drawing/2014/main" pred="{E671C440-9EDD-4447-9F5A-BD56ABC1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45" name="Imagen 1">
          <a:extLst>
            <a:ext uri="{FF2B5EF4-FFF2-40B4-BE49-F238E27FC236}">
              <a16:creationId xmlns:a16="http://schemas.microsoft.com/office/drawing/2014/main" id="{49C4CAEB-B5DA-4E30-BE17-FDA81E2032AA}"/>
            </a:ext>
            <a:ext uri="{147F2762-F138-4A5C-976F-8EAC2B608ADB}">
              <a16:predDERef xmlns:a16="http://schemas.microsoft.com/office/drawing/2014/main" pred="{30B46F54-5D6E-40F1-9911-64DD7C45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46" name="Imagen 1">
          <a:extLst>
            <a:ext uri="{FF2B5EF4-FFF2-40B4-BE49-F238E27FC236}">
              <a16:creationId xmlns:a16="http://schemas.microsoft.com/office/drawing/2014/main" id="{87A70CA2-DF5D-4D93-949B-4E2465FE0E75}"/>
            </a:ext>
            <a:ext uri="{147F2762-F138-4A5C-976F-8EAC2B608ADB}">
              <a16:predDERef xmlns:a16="http://schemas.microsoft.com/office/drawing/2014/main" pred="{49C4CAEB-B5DA-4E30-BE17-FDA81E20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47" name="Imagen 1">
          <a:extLst>
            <a:ext uri="{FF2B5EF4-FFF2-40B4-BE49-F238E27FC236}">
              <a16:creationId xmlns:a16="http://schemas.microsoft.com/office/drawing/2014/main" id="{F058EF81-50DA-4E64-B7AF-359C0057E364}"/>
            </a:ext>
            <a:ext uri="{147F2762-F138-4A5C-976F-8EAC2B608ADB}">
              <a16:predDERef xmlns:a16="http://schemas.microsoft.com/office/drawing/2014/main" pred="{87A70CA2-DF5D-4D93-949B-4E2465FE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48" name="Imagen 1">
          <a:extLst>
            <a:ext uri="{FF2B5EF4-FFF2-40B4-BE49-F238E27FC236}">
              <a16:creationId xmlns:a16="http://schemas.microsoft.com/office/drawing/2014/main" id="{E45CCAD7-4595-46C5-B215-D2F31BA43808}"/>
            </a:ext>
            <a:ext uri="{147F2762-F138-4A5C-976F-8EAC2B608ADB}">
              <a16:predDERef xmlns:a16="http://schemas.microsoft.com/office/drawing/2014/main" pred="{F058EF81-50DA-4E64-B7AF-359C0057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49" name="Imagen 1">
          <a:extLst>
            <a:ext uri="{FF2B5EF4-FFF2-40B4-BE49-F238E27FC236}">
              <a16:creationId xmlns:a16="http://schemas.microsoft.com/office/drawing/2014/main" id="{E9C2B3E1-95F0-49E0-BE0F-BD4A55D41BD6}"/>
            </a:ext>
            <a:ext uri="{147F2762-F138-4A5C-976F-8EAC2B608ADB}">
              <a16:predDERef xmlns:a16="http://schemas.microsoft.com/office/drawing/2014/main" pred="{E45CCAD7-4595-46C5-B215-D2F31BA4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50" name="Imagen 1">
          <a:extLst>
            <a:ext uri="{FF2B5EF4-FFF2-40B4-BE49-F238E27FC236}">
              <a16:creationId xmlns:a16="http://schemas.microsoft.com/office/drawing/2014/main" id="{851D3260-ACED-4A13-850F-E1D01112ACC6}"/>
            </a:ext>
            <a:ext uri="{147F2762-F138-4A5C-976F-8EAC2B608ADB}">
              <a16:predDERef xmlns:a16="http://schemas.microsoft.com/office/drawing/2014/main" pred="{E9C2B3E1-95F0-49E0-BE0F-BD4A55D4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51" name="Imagen 1">
          <a:extLst>
            <a:ext uri="{FF2B5EF4-FFF2-40B4-BE49-F238E27FC236}">
              <a16:creationId xmlns:a16="http://schemas.microsoft.com/office/drawing/2014/main" id="{C16E355C-EE7E-4AC7-9AD4-2097720626F8}"/>
            </a:ext>
            <a:ext uri="{147F2762-F138-4A5C-976F-8EAC2B608ADB}">
              <a16:predDERef xmlns:a16="http://schemas.microsoft.com/office/drawing/2014/main" pred="{851D3260-ACED-4A13-850F-E1D01112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133350</xdr:colOff>
      <xdr:row>3</xdr:row>
      <xdr:rowOff>38100</xdr:rowOff>
    </xdr:to>
    <xdr:pic>
      <xdr:nvPicPr>
        <xdr:cNvPr id="52" name="Imagen 1">
          <a:extLst>
            <a:ext uri="{FF2B5EF4-FFF2-40B4-BE49-F238E27FC236}">
              <a16:creationId xmlns:a16="http://schemas.microsoft.com/office/drawing/2014/main" id="{6E4C97FC-9EE1-4EA6-B420-CBB157131969}"/>
            </a:ext>
            <a:ext uri="{147F2762-F138-4A5C-976F-8EAC2B608ADB}">
              <a16:predDERef xmlns:a16="http://schemas.microsoft.com/office/drawing/2014/main" pred="{C16E355C-EE7E-4AC7-9AD4-209772062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133350</xdr:colOff>
      <xdr:row>4</xdr:row>
      <xdr:rowOff>38100</xdr:rowOff>
    </xdr:to>
    <xdr:pic>
      <xdr:nvPicPr>
        <xdr:cNvPr id="53" name="Imagen 1">
          <a:extLst>
            <a:ext uri="{FF2B5EF4-FFF2-40B4-BE49-F238E27FC236}">
              <a16:creationId xmlns:a16="http://schemas.microsoft.com/office/drawing/2014/main" id="{1095EA66-DCEA-4399-A72D-71EDE635645D}"/>
            </a:ext>
            <a:ext uri="{147F2762-F138-4A5C-976F-8EAC2B608ADB}">
              <a16:predDERef xmlns:a16="http://schemas.microsoft.com/office/drawing/2014/main" pred="{6E4C97FC-9EE1-4EA6-B420-CBB157131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133350</xdr:colOff>
      <xdr:row>5</xdr:row>
      <xdr:rowOff>38100</xdr:rowOff>
    </xdr:to>
    <xdr:pic>
      <xdr:nvPicPr>
        <xdr:cNvPr id="54" name="Imagen 1">
          <a:extLst>
            <a:ext uri="{FF2B5EF4-FFF2-40B4-BE49-F238E27FC236}">
              <a16:creationId xmlns:a16="http://schemas.microsoft.com/office/drawing/2014/main" id="{42BCF0A3-4D68-4F39-8CE2-8C9EB03C1F93}"/>
            </a:ext>
            <a:ext uri="{147F2762-F138-4A5C-976F-8EAC2B608ADB}">
              <a16:predDERef xmlns:a16="http://schemas.microsoft.com/office/drawing/2014/main" pred="{1095EA66-DCEA-4399-A72D-71EDE6356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133350</xdr:colOff>
      <xdr:row>6</xdr:row>
      <xdr:rowOff>38100</xdr:rowOff>
    </xdr:to>
    <xdr:pic>
      <xdr:nvPicPr>
        <xdr:cNvPr id="55" name="Imagen 1">
          <a:extLst>
            <a:ext uri="{FF2B5EF4-FFF2-40B4-BE49-F238E27FC236}">
              <a16:creationId xmlns:a16="http://schemas.microsoft.com/office/drawing/2014/main" id="{BA01B872-93ED-47FB-A6BE-48BAEEB2D9C2}"/>
            </a:ext>
            <a:ext uri="{147F2762-F138-4A5C-976F-8EAC2B608ADB}">
              <a16:predDERef xmlns:a16="http://schemas.microsoft.com/office/drawing/2014/main" pred="{42BCF0A3-4D68-4F39-8CE2-8C9EB03C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133350</xdr:colOff>
      <xdr:row>7</xdr:row>
      <xdr:rowOff>38100</xdr:rowOff>
    </xdr:to>
    <xdr:pic>
      <xdr:nvPicPr>
        <xdr:cNvPr id="56" name="Imagen 1">
          <a:extLst>
            <a:ext uri="{FF2B5EF4-FFF2-40B4-BE49-F238E27FC236}">
              <a16:creationId xmlns:a16="http://schemas.microsoft.com/office/drawing/2014/main" id="{A1A0E1BF-8F8D-498B-8F4D-3E935D255E48}"/>
            </a:ext>
            <a:ext uri="{147F2762-F138-4A5C-976F-8EAC2B608ADB}">
              <a16:predDERef xmlns:a16="http://schemas.microsoft.com/office/drawing/2014/main" pred="{BA01B872-93ED-47FB-A6BE-48BAEEB2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133350</xdr:colOff>
      <xdr:row>8</xdr:row>
      <xdr:rowOff>38100</xdr:rowOff>
    </xdr:to>
    <xdr:pic>
      <xdr:nvPicPr>
        <xdr:cNvPr id="57" name="Imagen 1">
          <a:extLst>
            <a:ext uri="{FF2B5EF4-FFF2-40B4-BE49-F238E27FC236}">
              <a16:creationId xmlns:a16="http://schemas.microsoft.com/office/drawing/2014/main" id="{DBCE14A7-1CD5-4160-9F98-3D19DFEAD060}"/>
            </a:ext>
            <a:ext uri="{147F2762-F138-4A5C-976F-8EAC2B608ADB}">
              <a16:predDERef xmlns:a16="http://schemas.microsoft.com/office/drawing/2014/main" pred="{A1A0E1BF-8F8D-498B-8F4D-3E935D25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133350</xdr:colOff>
      <xdr:row>9</xdr:row>
      <xdr:rowOff>38100</xdr:rowOff>
    </xdr:to>
    <xdr:pic>
      <xdr:nvPicPr>
        <xdr:cNvPr id="58" name="Imagen 1">
          <a:extLst>
            <a:ext uri="{FF2B5EF4-FFF2-40B4-BE49-F238E27FC236}">
              <a16:creationId xmlns:a16="http://schemas.microsoft.com/office/drawing/2014/main" id="{667B2F61-15C9-4369-9E06-1D120A7A028D}"/>
            </a:ext>
            <a:ext uri="{147F2762-F138-4A5C-976F-8EAC2B608ADB}">
              <a16:predDERef xmlns:a16="http://schemas.microsoft.com/office/drawing/2014/main" pred="{DBCE14A7-1CD5-4160-9F98-3D19DFEA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133350</xdr:colOff>
      <xdr:row>10</xdr:row>
      <xdr:rowOff>28575</xdr:rowOff>
    </xdr:to>
    <xdr:pic>
      <xdr:nvPicPr>
        <xdr:cNvPr id="59" name="Imagen 1">
          <a:extLst>
            <a:ext uri="{FF2B5EF4-FFF2-40B4-BE49-F238E27FC236}">
              <a16:creationId xmlns:a16="http://schemas.microsoft.com/office/drawing/2014/main" id="{1C554802-81FB-4B6A-8CB8-C9C03585BB15}"/>
            </a:ext>
            <a:ext uri="{147F2762-F138-4A5C-976F-8EAC2B608ADB}">
              <a16:predDERef xmlns:a16="http://schemas.microsoft.com/office/drawing/2014/main" pred="{667B2F61-15C9-4369-9E06-1D120A7A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133350</xdr:colOff>
      <xdr:row>11</xdr:row>
      <xdr:rowOff>28575</xdr:rowOff>
    </xdr:to>
    <xdr:pic>
      <xdr:nvPicPr>
        <xdr:cNvPr id="60" name="Imagen 1">
          <a:extLst>
            <a:ext uri="{FF2B5EF4-FFF2-40B4-BE49-F238E27FC236}">
              <a16:creationId xmlns:a16="http://schemas.microsoft.com/office/drawing/2014/main" id="{A298C170-CE4E-4478-A512-DEC9C450088A}"/>
            </a:ext>
            <a:ext uri="{147F2762-F138-4A5C-976F-8EAC2B608ADB}">
              <a16:predDERef xmlns:a16="http://schemas.microsoft.com/office/drawing/2014/main" pred="{1C554802-81FB-4B6A-8CB8-C9C03585B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28575</xdr:rowOff>
    </xdr:to>
    <xdr:pic>
      <xdr:nvPicPr>
        <xdr:cNvPr id="61" name="Imagen 1">
          <a:extLst>
            <a:ext uri="{FF2B5EF4-FFF2-40B4-BE49-F238E27FC236}">
              <a16:creationId xmlns:a16="http://schemas.microsoft.com/office/drawing/2014/main" id="{5AAEB37F-E3C1-4D32-8C05-1270B77B6695}"/>
            </a:ext>
            <a:ext uri="{147F2762-F138-4A5C-976F-8EAC2B608ADB}">
              <a16:predDERef xmlns:a16="http://schemas.microsoft.com/office/drawing/2014/main" pred="{A298C170-CE4E-4478-A512-DEC9C450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133350</xdr:colOff>
      <xdr:row>3</xdr:row>
      <xdr:rowOff>38100</xdr:rowOff>
    </xdr:to>
    <xdr:pic>
      <xdr:nvPicPr>
        <xdr:cNvPr id="62" name="Imagen 1">
          <a:extLst>
            <a:ext uri="{FF2B5EF4-FFF2-40B4-BE49-F238E27FC236}">
              <a16:creationId xmlns:a16="http://schemas.microsoft.com/office/drawing/2014/main" id="{6EDA69F2-0CB5-4531-820D-3E5AEE85BEDC}"/>
            </a:ext>
            <a:ext uri="{147F2762-F138-4A5C-976F-8EAC2B608ADB}">
              <a16:predDERef xmlns:a16="http://schemas.microsoft.com/office/drawing/2014/main" pred="{5AAEB37F-E3C1-4D32-8C05-1270B77B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133350</xdr:colOff>
      <xdr:row>3</xdr:row>
      <xdr:rowOff>38100</xdr:rowOff>
    </xdr:to>
    <xdr:pic>
      <xdr:nvPicPr>
        <xdr:cNvPr id="63" name="Imagen 1">
          <a:extLst>
            <a:ext uri="{FF2B5EF4-FFF2-40B4-BE49-F238E27FC236}">
              <a16:creationId xmlns:a16="http://schemas.microsoft.com/office/drawing/2014/main" id="{7C97588A-9EBC-4A4D-A008-FAE3C62A8F1E}"/>
            </a:ext>
            <a:ext uri="{147F2762-F138-4A5C-976F-8EAC2B608ADB}">
              <a16:predDERef xmlns:a16="http://schemas.microsoft.com/office/drawing/2014/main" pred="{6EDA69F2-0CB5-4531-820D-3E5AEE85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133350</xdr:colOff>
      <xdr:row>4</xdr:row>
      <xdr:rowOff>38100</xdr:rowOff>
    </xdr:to>
    <xdr:pic>
      <xdr:nvPicPr>
        <xdr:cNvPr id="64" name="Imagen 1">
          <a:extLst>
            <a:ext uri="{FF2B5EF4-FFF2-40B4-BE49-F238E27FC236}">
              <a16:creationId xmlns:a16="http://schemas.microsoft.com/office/drawing/2014/main" id="{D00E0BEC-7F6D-4F5D-977C-95A89AB0FE1D}"/>
            </a:ext>
            <a:ext uri="{147F2762-F138-4A5C-976F-8EAC2B608ADB}">
              <a16:predDERef xmlns:a16="http://schemas.microsoft.com/office/drawing/2014/main" pred="{7C97588A-9EBC-4A4D-A008-FAE3C62A8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65" name="Imagen 1">
          <a:extLst>
            <a:ext uri="{FF2B5EF4-FFF2-40B4-BE49-F238E27FC236}">
              <a16:creationId xmlns:a16="http://schemas.microsoft.com/office/drawing/2014/main" id="{232A7756-2F0E-47AA-A847-1DE93A325152}"/>
            </a:ext>
            <a:ext uri="{147F2762-F138-4A5C-976F-8EAC2B608ADB}">
              <a16:predDERef xmlns:a16="http://schemas.microsoft.com/office/drawing/2014/main" pred="{D00E0BEC-7F6D-4F5D-977C-95A89AB0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133350</xdr:colOff>
      <xdr:row>4</xdr:row>
      <xdr:rowOff>38100</xdr:rowOff>
    </xdr:to>
    <xdr:pic>
      <xdr:nvPicPr>
        <xdr:cNvPr id="66" name="Imagen 1">
          <a:extLst>
            <a:ext uri="{FF2B5EF4-FFF2-40B4-BE49-F238E27FC236}">
              <a16:creationId xmlns:a16="http://schemas.microsoft.com/office/drawing/2014/main" id="{ABB4F516-5AB2-4123-9FFF-F74F81BCDCDC}"/>
            </a:ext>
            <a:ext uri="{147F2762-F138-4A5C-976F-8EAC2B608ADB}">
              <a16:predDERef xmlns:a16="http://schemas.microsoft.com/office/drawing/2014/main" pred="{232A7756-2F0E-47AA-A847-1DE93A32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67" name="Imagen 1">
          <a:extLst>
            <a:ext uri="{FF2B5EF4-FFF2-40B4-BE49-F238E27FC236}">
              <a16:creationId xmlns:a16="http://schemas.microsoft.com/office/drawing/2014/main" id="{1151785E-6D5D-4F7A-9445-34F73077F995}"/>
            </a:ext>
            <a:ext uri="{147F2762-F138-4A5C-976F-8EAC2B608ADB}">
              <a16:predDERef xmlns:a16="http://schemas.microsoft.com/office/drawing/2014/main" pred="{ABB4F516-5AB2-4123-9FFF-F74F81BC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133350</xdr:colOff>
      <xdr:row>4</xdr:row>
      <xdr:rowOff>38100</xdr:rowOff>
    </xdr:to>
    <xdr:pic>
      <xdr:nvPicPr>
        <xdr:cNvPr id="68" name="Imagen 1">
          <a:extLst>
            <a:ext uri="{FF2B5EF4-FFF2-40B4-BE49-F238E27FC236}">
              <a16:creationId xmlns:a16="http://schemas.microsoft.com/office/drawing/2014/main" id="{A25C5EA2-87CE-4813-89CF-740F74625619}"/>
            </a:ext>
            <a:ext uri="{147F2762-F138-4A5C-976F-8EAC2B608ADB}">
              <a16:predDERef xmlns:a16="http://schemas.microsoft.com/office/drawing/2014/main" pred="{1151785E-6D5D-4F7A-9445-34F73077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133350</xdr:colOff>
      <xdr:row>5</xdr:row>
      <xdr:rowOff>38100</xdr:rowOff>
    </xdr:to>
    <xdr:pic>
      <xdr:nvPicPr>
        <xdr:cNvPr id="69" name="Imagen 1">
          <a:extLst>
            <a:ext uri="{FF2B5EF4-FFF2-40B4-BE49-F238E27FC236}">
              <a16:creationId xmlns:a16="http://schemas.microsoft.com/office/drawing/2014/main" id="{F72E49D8-19DD-4A04-AFD4-E0E304498779}"/>
            </a:ext>
            <a:ext uri="{147F2762-F138-4A5C-976F-8EAC2B608ADB}">
              <a16:predDERef xmlns:a16="http://schemas.microsoft.com/office/drawing/2014/main" pred="{A25C5EA2-87CE-4813-89CF-740F74625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70" name="Imagen 1">
          <a:extLst>
            <a:ext uri="{FF2B5EF4-FFF2-40B4-BE49-F238E27FC236}">
              <a16:creationId xmlns:a16="http://schemas.microsoft.com/office/drawing/2014/main" id="{6952E5A0-199D-4103-BBDA-2031F057A57C}"/>
            </a:ext>
            <a:ext uri="{147F2762-F138-4A5C-976F-8EAC2B608ADB}">
              <a16:predDERef xmlns:a16="http://schemas.microsoft.com/office/drawing/2014/main" pred="{F72E49D8-19DD-4A04-AFD4-E0E304498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133350</xdr:colOff>
      <xdr:row>5</xdr:row>
      <xdr:rowOff>38100</xdr:rowOff>
    </xdr:to>
    <xdr:pic>
      <xdr:nvPicPr>
        <xdr:cNvPr id="71" name="Imagen 1">
          <a:extLst>
            <a:ext uri="{FF2B5EF4-FFF2-40B4-BE49-F238E27FC236}">
              <a16:creationId xmlns:a16="http://schemas.microsoft.com/office/drawing/2014/main" id="{83F231B6-D1FC-4A15-9DBE-DD9916C68F47}"/>
            </a:ext>
            <a:ext uri="{147F2762-F138-4A5C-976F-8EAC2B608ADB}">
              <a16:predDERef xmlns:a16="http://schemas.microsoft.com/office/drawing/2014/main" pred="{6952E5A0-199D-4103-BBDA-2031F057A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72" name="Imagen 1">
          <a:extLst>
            <a:ext uri="{FF2B5EF4-FFF2-40B4-BE49-F238E27FC236}">
              <a16:creationId xmlns:a16="http://schemas.microsoft.com/office/drawing/2014/main" id="{6DA29ADB-E779-47B5-A05D-CDEE2D0F76EB}"/>
            </a:ext>
            <a:ext uri="{147F2762-F138-4A5C-976F-8EAC2B608ADB}">
              <a16:predDERef xmlns:a16="http://schemas.microsoft.com/office/drawing/2014/main" pred="{83F231B6-D1FC-4A15-9DBE-DD9916C6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133350</xdr:colOff>
      <xdr:row>5</xdr:row>
      <xdr:rowOff>38100</xdr:rowOff>
    </xdr:to>
    <xdr:pic>
      <xdr:nvPicPr>
        <xdr:cNvPr id="73" name="Imagen 1">
          <a:extLst>
            <a:ext uri="{FF2B5EF4-FFF2-40B4-BE49-F238E27FC236}">
              <a16:creationId xmlns:a16="http://schemas.microsoft.com/office/drawing/2014/main" id="{4EC7F806-ED76-4E7F-9C09-7EB99B781C33}"/>
            </a:ext>
            <a:ext uri="{147F2762-F138-4A5C-976F-8EAC2B608ADB}">
              <a16:predDERef xmlns:a16="http://schemas.microsoft.com/office/drawing/2014/main" pred="{6DA29ADB-E779-47B5-A05D-CDEE2D0F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133350</xdr:colOff>
      <xdr:row>6</xdr:row>
      <xdr:rowOff>38100</xdr:rowOff>
    </xdr:to>
    <xdr:pic>
      <xdr:nvPicPr>
        <xdr:cNvPr id="74" name="Imagen 1">
          <a:extLst>
            <a:ext uri="{FF2B5EF4-FFF2-40B4-BE49-F238E27FC236}">
              <a16:creationId xmlns:a16="http://schemas.microsoft.com/office/drawing/2014/main" id="{4C3D4CB4-1C4D-4909-96AC-27935534C423}"/>
            </a:ext>
            <a:ext uri="{147F2762-F138-4A5C-976F-8EAC2B608ADB}">
              <a16:predDERef xmlns:a16="http://schemas.microsoft.com/office/drawing/2014/main" pred="{4EC7F806-ED76-4E7F-9C09-7EB99B78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75" name="Imagen 1">
          <a:extLst>
            <a:ext uri="{FF2B5EF4-FFF2-40B4-BE49-F238E27FC236}">
              <a16:creationId xmlns:a16="http://schemas.microsoft.com/office/drawing/2014/main" id="{54E231B3-55E9-4E14-98B2-D767A2A24337}"/>
            </a:ext>
            <a:ext uri="{147F2762-F138-4A5C-976F-8EAC2B608ADB}">
              <a16:predDERef xmlns:a16="http://schemas.microsoft.com/office/drawing/2014/main" pred="{4C3D4CB4-1C4D-4909-96AC-27935534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133350</xdr:colOff>
      <xdr:row>6</xdr:row>
      <xdr:rowOff>38100</xdr:rowOff>
    </xdr:to>
    <xdr:pic>
      <xdr:nvPicPr>
        <xdr:cNvPr id="76" name="Imagen 1">
          <a:extLst>
            <a:ext uri="{FF2B5EF4-FFF2-40B4-BE49-F238E27FC236}">
              <a16:creationId xmlns:a16="http://schemas.microsoft.com/office/drawing/2014/main" id="{7A33E243-12CA-4C66-A56B-4C37CDC36B32}"/>
            </a:ext>
            <a:ext uri="{147F2762-F138-4A5C-976F-8EAC2B608ADB}">
              <a16:predDERef xmlns:a16="http://schemas.microsoft.com/office/drawing/2014/main" pred="{54E231B3-55E9-4E14-98B2-D767A2A2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77" name="Imagen 1">
          <a:extLst>
            <a:ext uri="{FF2B5EF4-FFF2-40B4-BE49-F238E27FC236}">
              <a16:creationId xmlns:a16="http://schemas.microsoft.com/office/drawing/2014/main" id="{B04556FD-F2A6-4898-9BEE-251293554507}"/>
            </a:ext>
            <a:ext uri="{147F2762-F138-4A5C-976F-8EAC2B608ADB}">
              <a16:predDERef xmlns:a16="http://schemas.microsoft.com/office/drawing/2014/main" pred="{7A33E243-12CA-4C66-A56B-4C37CDC3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133350</xdr:colOff>
      <xdr:row>6</xdr:row>
      <xdr:rowOff>38100</xdr:rowOff>
    </xdr:to>
    <xdr:pic>
      <xdr:nvPicPr>
        <xdr:cNvPr id="78" name="Imagen 1">
          <a:extLst>
            <a:ext uri="{FF2B5EF4-FFF2-40B4-BE49-F238E27FC236}">
              <a16:creationId xmlns:a16="http://schemas.microsoft.com/office/drawing/2014/main" id="{E76E0605-B905-4CF3-9363-8A8D5EA4798A}"/>
            </a:ext>
            <a:ext uri="{147F2762-F138-4A5C-976F-8EAC2B608ADB}">
              <a16:predDERef xmlns:a16="http://schemas.microsoft.com/office/drawing/2014/main" pred="{B04556FD-F2A6-4898-9BEE-251293554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133350</xdr:colOff>
      <xdr:row>7</xdr:row>
      <xdr:rowOff>38100</xdr:rowOff>
    </xdr:to>
    <xdr:pic>
      <xdr:nvPicPr>
        <xdr:cNvPr id="79" name="Imagen 1">
          <a:extLst>
            <a:ext uri="{FF2B5EF4-FFF2-40B4-BE49-F238E27FC236}">
              <a16:creationId xmlns:a16="http://schemas.microsoft.com/office/drawing/2014/main" id="{F8D044B7-CB06-4DBF-A0A7-18904D230336}"/>
            </a:ext>
            <a:ext uri="{147F2762-F138-4A5C-976F-8EAC2B608ADB}">
              <a16:predDERef xmlns:a16="http://schemas.microsoft.com/office/drawing/2014/main" pred="{E76E0605-B905-4CF3-9363-8A8D5EA4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80" name="Imagen 1">
          <a:extLst>
            <a:ext uri="{FF2B5EF4-FFF2-40B4-BE49-F238E27FC236}">
              <a16:creationId xmlns:a16="http://schemas.microsoft.com/office/drawing/2014/main" id="{8213ECAA-60CF-467D-B2D3-DAB15C477CE9}"/>
            </a:ext>
            <a:ext uri="{147F2762-F138-4A5C-976F-8EAC2B608ADB}">
              <a16:predDERef xmlns:a16="http://schemas.microsoft.com/office/drawing/2014/main" pred="{F8D044B7-CB06-4DBF-A0A7-18904D23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133350</xdr:colOff>
      <xdr:row>7</xdr:row>
      <xdr:rowOff>38100</xdr:rowOff>
    </xdr:to>
    <xdr:pic>
      <xdr:nvPicPr>
        <xdr:cNvPr id="81" name="Imagen 1">
          <a:extLst>
            <a:ext uri="{FF2B5EF4-FFF2-40B4-BE49-F238E27FC236}">
              <a16:creationId xmlns:a16="http://schemas.microsoft.com/office/drawing/2014/main" id="{48E58E3D-2FC5-4987-805B-E83501DB00B9}"/>
            </a:ext>
            <a:ext uri="{147F2762-F138-4A5C-976F-8EAC2B608ADB}">
              <a16:predDERef xmlns:a16="http://schemas.microsoft.com/office/drawing/2014/main" pred="{8213ECAA-60CF-467D-B2D3-DAB15C47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82" name="Imagen 1">
          <a:extLst>
            <a:ext uri="{FF2B5EF4-FFF2-40B4-BE49-F238E27FC236}">
              <a16:creationId xmlns:a16="http://schemas.microsoft.com/office/drawing/2014/main" id="{19D80C0D-2F48-4911-96FA-6CE99F3FEEBC}"/>
            </a:ext>
            <a:ext uri="{147F2762-F138-4A5C-976F-8EAC2B608ADB}">
              <a16:predDERef xmlns:a16="http://schemas.microsoft.com/office/drawing/2014/main" pred="{48E58E3D-2FC5-4987-805B-E83501DB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133350</xdr:colOff>
      <xdr:row>7</xdr:row>
      <xdr:rowOff>38100</xdr:rowOff>
    </xdr:to>
    <xdr:pic>
      <xdr:nvPicPr>
        <xdr:cNvPr id="83" name="Imagen 1">
          <a:extLst>
            <a:ext uri="{FF2B5EF4-FFF2-40B4-BE49-F238E27FC236}">
              <a16:creationId xmlns:a16="http://schemas.microsoft.com/office/drawing/2014/main" id="{9720D03A-F6E0-48F2-A2FB-966F748F7193}"/>
            </a:ext>
            <a:ext uri="{147F2762-F138-4A5C-976F-8EAC2B608ADB}">
              <a16:predDERef xmlns:a16="http://schemas.microsoft.com/office/drawing/2014/main" pred="{19D80C0D-2F48-4911-96FA-6CE99F3FE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133350</xdr:colOff>
      <xdr:row>8</xdr:row>
      <xdr:rowOff>38100</xdr:rowOff>
    </xdr:to>
    <xdr:pic>
      <xdr:nvPicPr>
        <xdr:cNvPr id="84" name="Imagen 1">
          <a:extLst>
            <a:ext uri="{FF2B5EF4-FFF2-40B4-BE49-F238E27FC236}">
              <a16:creationId xmlns:a16="http://schemas.microsoft.com/office/drawing/2014/main" id="{E131F0F7-298E-4A24-B5CF-0F4B89C5A4B7}"/>
            </a:ext>
            <a:ext uri="{147F2762-F138-4A5C-976F-8EAC2B608ADB}">
              <a16:predDERef xmlns:a16="http://schemas.microsoft.com/office/drawing/2014/main" pred="{9720D03A-F6E0-48F2-A2FB-966F748F7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85" name="Imagen 1">
          <a:extLst>
            <a:ext uri="{FF2B5EF4-FFF2-40B4-BE49-F238E27FC236}">
              <a16:creationId xmlns:a16="http://schemas.microsoft.com/office/drawing/2014/main" id="{23987F81-9E20-4E0D-9659-08647B5AAA71}"/>
            </a:ext>
            <a:ext uri="{147F2762-F138-4A5C-976F-8EAC2B608ADB}">
              <a16:predDERef xmlns:a16="http://schemas.microsoft.com/office/drawing/2014/main" pred="{E131F0F7-298E-4A24-B5CF-0F4B89C5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133350</xdr:colOff>
      <xdr:row>8</xdr:row>
      <xdr:rowOff>38100</xdr:rowOff>
    </xdr:to>
    <xdr:pic>
      <xdr:nvPicPr>
        <xdr:cNvPr id="86" name="Imagen 1">
          <a:extLst>
            <a:ext uri="{FF2B5EF4-FFF2-40B4-BE49-F238E27FC236}">
              <a16:creationId xmlns:a16="http://schemas.microsoft.com/office/drawing/2014/main" id="{096C0935-FC03-497D-A1C9-521B73714194}"/>
            </a:ext>
            <a:ext uri="{147F2762-F138-4A5C-976F-8EAC2B608ADB}">
              <a16:predDERef xmlns:a16="http://schemas.microsoft.com/office/drawing/2014/main" pred="{23987F81-9E20-4E0D-9659-08647B5A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87" name="Imagen 1">
          <a:extLst>
            <a:ext uri="{FF2B5EF4-FFF2-40B4-BE49-F238E27FC236}">
              <a16:creationId xmlns:a16="http://schemas.microsoft.com/office/drawing/2014/main" id="{1CF39BEB-3979-4FDA-BAC6-B3409BCBA11E}"/>
            </a:ext>
            <a:ext uri="{147F2762-F138-4A5C-976F-8EAC2B608ADB}">
              <a16:predDERef xmlns:a16="http://schemas.microsoft.com/office/drawing/2014/main" pred="{096C0935-FC03-497D-A1C9-521B73714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133350</xdr:colOff>
      <xdr:row>8</xdr:row>
      <xdr:rowOff>38100</xdr:rowOff>
    </xdr:to>
    <xdr:pic>
      <xdr:nvPicPr>
        <xdr:cNvPr id="88" name="Imagen 1">
          <a:extLst>
            <a:ext uri="{FF2B5EF4-FFF2-40B4-BE49-F238E27FC236}">
              <a16:creationId xmlns:a16="http://schemas.microsoft.com/office/drawing/2014/main" id="{29149450-B1D2-484A-9E42-2B2DF698B135}"/>
            </a:ext>
            <a:ext uri="{147F2762-F138-4A5C-976F-8EAC2B608ADB}">
              <a16:predDERef xmlns:a16="http://schemas.microsoft.com/office/drawing/2014/main" pred="{1CF39BEB-3979-4FDA-BAC6-B3409BCB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133350</xdr:colOff>
      <xdr:row>9</xdr:row>
      <xdr:rowOff>38100</xdr:rowOff>
    </xdr:to>
    <xdr:pic>
      <xdr:nvPicPr>
        <xdr:cNvPr id="89" name="Imagen 1">
          <a:extLst>
            <a:ext uri="{FF2B5EF4-FFF2-40B4-BE49-F238E27FC236}">
              <a16:creationId xmlns:a16="http://schemas.microsoft.com/office/drawing/2014/main" id="{EF55BCA0-29DF-4E94-9520-0A4F46883E80}"/>
            </a:ext>
            <a:ext uri="{147F2762-F138-4A5C-976F-8EAC2B608ADB}">
              <a16:predDERef xmlns:a16="http://schemas.microsoft.com/office/drawing/2014/main" pred="{29149450-B1D2-484A-9E42-2B2DF698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90" name="Imagen 1">
          <a:extLst>
            <a:ext uri="{FF2B5EF4-FFF2-40B4-BE49-F238E27FC236}">
              <a16:creationId xmlns:a16="http://schemas.microsoft.com/office/drawing/2014/main" id="{396178B9-506A-4F77-9BA2-7D8E548DF501}"/>
            </a:ext>
            <a:ext uri="{147F2762-F138-4A5C-976F-8EAC2B608ADB}">
              <a16:predDERef xmlns:a16="http://schemas.microsoft.com/office/drawing/2014/main" pred="{EF55BCA0-29DF-4E94-9520-0A4F4688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133350</xdr:colOff>
      <xdr:row>9</xdr:row>
      <xdr:rowOff>38100</xdr:rowOff>
    </xdr:to>
    <xdr:pic>
      <xdr:nvPicPr>
        <xdr:cNvPr id="91" name="Imagen 1">
          <a:extLst>
            <a:ext uri="{FF2B5EF4-FFF2-40B4-BE49-F238E27FC236}">
              <a16:creationId xmlns:a16="http://schemas.microsoft.com/office/drawing/2014/main" id="{76AAB5CB-F7F1-4DA4-8A6E-A9CE185FD637}"/>
            </a:ext>
            <a:ext uri="{147F2762-F138-4A5C-976F-8EAC2B608ADB}">
              <a16:predDERef xmlns:a16="http://schemas.microsoft.com/office/drawing/2014/main" pred="{396178B9-506A-4F77-9BA2-7D8E548D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92" name="Imagen 1">
          <a:extLst>
            <a:ext uri="{FF2B5EF4-FFF2-40B4-BE49-F238E27FC236}">
              <a16:creationId xmlns:a16="http://schemas.microsoft.com/office/drawing/2014/main" id="{1FFCE0F2-3FDB-4A9E-806B-A68228867FD6}"/>
            </a:ext>
            <a:ext uri="{147F2762-F138-4A5C-976F-8EAC2B608ADB}">
              <a16:predDERef xmlns:a16="http://schemas.microsoft.com/office/drawing/2014/main" pred="{76AAB5CB-F7F1-4DA4-8A6E-A9CE185F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133350</xdr:colOff>
      <xdr:row>9</xdr:row>
      <xdr:rowOff>38100</xdr:rowOff>
    </xdr:to>
    <xdr:pic>
      <xdr:nvPicPr>
        <xdr:cNvPr id="93" name="Imagen 1">
          <a:extLst>
            <a:ext uri="{FF2B5EF4-FFF2-40B4-BE49-F238E27FC236}">
              <a16:creationId xmlns:a16="http://schemas.microsoft.com/office/drawing/2014/main" id="{38C0F97E-16D7-4891-9383-B573F4839D79}"/>
            </a:ext>
            <a:ext uri="{147F2762-F138-4A5C-976F-8EAC2B608ADB}">
              <a16:predDERef xmlns:a16="http://schemas.microsoft.com/office/drawing/2014/main" pred="{1FFCE0F2-3FDB-4A9E-806B-A6822886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133350</xdr:colOff>
      <xdr:row>10</xdr:row>
      <xdr:rowOff>28575</xdr:rowOff>
    </xdr:to>
    <xdr:pic>
      <xdr:nvPicPr>
        <xdr:cNvPr id="94" name="Imagen 1">
          <a:extLst>
            <a:ext uri="{FF2B5EF4-FFF2-40B4-BE49-F238E27FC236}">
              <a16:creationId xmlns:a16="http://schemas.microsoft.com/office/drawing/2014/main" id="{047ACC2F-3385-4624-9CA5-D490AB1FF5EF}"/>
            </a:ext>
            <a:ext uri="{147F2762-F138-4A5C-976F-8EAC2B608ADB}">
              <a16:predDERef xmlns:a16="http://schemas.microsoft.com/office/drawing/2014/main" pred="{38C0F97E-16D7-4891-9383-B573F4839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95" name="Imagen 1">
          <a:extLst>
            <a:ext uri="{FF2B5EF4-FFF2-40B4-BE49-F238E27FC236}">
              <a16:creationId xmlns:a16="http://schemas.microsoft.com/office/drawing/2014/main" id="{5A40965F-3F2D-4660-BB42-CDB73CAB52FA}"/>
            </a:ext>
            <a:ext uri="{147F2762-F138-4A5C-976F-8EAC2B608ADB}">
              <a16:predDERef xmlns:a16="http://schemas.microsoft.com/office/drawing/2014/main" pred="{047ACC2F-3385-4624-9CA5-D490AB1FF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133350</xdr:colOff>
      <xdr:row>10</xdr:row>
      <xdr:rowOff>28575</xdr:rowOff>
    </xdr:to>
    <xdr:pic>
      <xdr:nvPicPr>
        <xdr:cNvPr id="96" name="Imagen 1">
          <a:extLst>
            <a:ext uri="{FF2B5EF4-FFF2-40B4-BE49-F238E27FC236}">
              <a16:creationId xmlns:a16="http://schemas.microsoft.com/office/drawing/2014/main" id="{12F2383E-4403-4AD3-A87D-63514D556523}"/>
            </a:ext>
            <a:ext uri="{147F2762-F138-4A5C-976F-8EAC2B608ADB}">
              <a16:predDERef xmlns:a16="http://schemas.microsoft.com/office/drawing/2014/main" pred="{5A40965F-3F2D-4660-BB42-CDB73CAB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97" name="Imagen 1">
          <a:extLst>
            <a:ext uri="{FF2B5EF4-FFF2-40B4-BE49-F238E27FC236}">
              <a16:creationId xmlns:a16="http://schemas.microsoft.com/office/drawing/2014/main" id="{61588933-0DE7-4995-9C91-7D174F5B3900}"/>
            </a:ext>
            <a:ext uri="{147F2762-F138-4A5C-976F-8EAC2B608ADB}">
              <a16:predDERef xmlns:a16="http://schemas.microsoft.com/office/drawing/2014/main" pred="{12F2383E-4403-4AD3-A87D-63514D55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133350</xdr:colOff>
      <xdr:row>10</xdr:row>
      <xdr:rowOff>28575</xdr:rowOff>
    </xdr:to>
    <xdr:pic>
      <xdr:nvPicPr>
        <xdr:cNvPr id="98" name="Imagen 1">
          <a:extLst>
            <a:ext uri="{FF2B5EF4-FFF2-40B4-BE49-F238E27FC236}">
              <a16:creationId xmlns:a16="http://schemas.microsoft.com/office/drawing/2014/main" id="{0055FB90-4396-4C84-B016-33E6B8E8C8F3}"/>
            </a:ext>
            <a:ext uri="{147F2762-F138-4A5C-976F-8EAC2B608ADB}">
              <a16:predDERef xmlns:a16="http://schemas.microsoft.com/office/drawing/2014/main" pred="{61588933-0DE7-4995-9C91-7D174F5B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133350</xdr:colOff>
      <xdr:row>11</xdr:row>
      <xdr:rowOff>28575</xdr:rowOff>
    </xdr:to>
    <xdr:pic>
      <xdr:nvPicPr>
        <xdr:cNvPr id="99" name="Imagen 1">
          <a:extLst>
            <a:ext uri="{FF2B5EF4-FFF2-40B4-BE49-F238E27FC236}">
              <a16:creationId xmlns:a16="http://schemas.microsoft.com/office/drawing/2014/main" id="{5E633E91-4B81-4696-ABEA-DD601990315F}"/>
            </a:ext>
            <a:ext uri="{147F2762-F138-4A5C-976F-8EAC2B608ADB}">
              <a16:predDERef xmlns:a16="http://schemas.microsoft.com/office/drawing/2014/main" pred="{0055FB90-4396-4C84-B016-33E6B8E8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100" name="Imagen 1">
          <a:extLst>
            <a:ext uri="{FF2B5EF4-FFF2-40B4-BE49-F238E27FC236}">
              <a16:creationId xmlns:a16="http://schemas.microsoft.com/office/drawing/2014/main" id="{4BE3B930-C4D2-493C-88F2-A329D76CBA40}"/>
            </a:ext>
            <a:ext uri="{147F2762-F138-4A5C-976F-8EAC2B608ADB}">
              <a16:predDERef xmlns:a16="http://schemas.microsoft.com/office/drawing/2014/main" pred="{5E633E91-4B81-4696-ABEA-DD601990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133350</xdr:colOff>
      <xdr:row>11</xdr:row>
      <xdr:rowOff>28575</xdr:rowOff>
    </xdr:to>
    <xdr:pic>
      <xdr:nvPicPr>
        <xdr:cNvPr id="101" name="Imagen 1">
          <a:extLst>
            <a:ext uri="{FF2B5EF4-FFF2-40B4-BE49-F238E27FC236}">
              <a16:creationId xmlns:a16="http://schemas.microsoft.com/office/drawing/2014/main" id="{230BD831-2172-4494-B82A-E5E6B482475C}"/>
            </a:ext>
            <a:ext uri="{147F2762-F138-4A5C-976F-8EAC2B608ADB}">
              <a16:predDERef xmlns:a16="http://schemas.microsoft.com/office/drawing/2014/main" pred="{4BE3B930-C4D2-493C-88F2-A329D76CB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102" name="Imagen 1">
          <a:extLst>
            <a:ext uri="{FF2B5EF4-FFF2-40B4-BE49-F238E27FC236}">
              <a16:creationId xmlns:a16="http://schemas.microsoft.com/office/drawing/2014/main" id="{B05BB0A1-3DCF-4E94-A457-6BDCBCEE4E44}"/>
            </a:ext>
            <a:ext uri="{147F2762-F138-4A5C-976F-8EAC2B608ADB}">
              <a16:predDERef xmlns:a16="http://schemas.microsoft.com/office/drawing/2014/main" pred="{230BD831-2172-4494-B82A-E5E6B482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133350</xdr:colOff>
      <xdr:row>11</xdr:row>
      <xdr:rowOff>28575</xdr:rowOff>
    </xdr:to>
    <xdr:pic>
      <xdr:nvPicPr>
        <xdr:cNvPr id="103" name="Imagen 1">
          <a:extLst>
            <a:ext uri="{FF2B5EF4-FFF2-40B4-BE49-F238E27FC236}">
              <a16:creationId xmlns:a16="http://schemas.microsoft.com/office/drawing/2014/main" id="{E03C7FA8-5B49-4A56-A762-FB925DFF7297}"/>
            </a:ext>
            <a:ext uri="{147F2762-F138-4A5C-976F-8EAC2B608ADB}">
              <a16:predDERef xmlns:a16="http://schemas.microsoft.com/office/drawing/2014/main" pred="{B05BB0A1-3DCF-4E94-A457-6BDCBCEE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133350</xdr:colOff>
      <xdr:row>12</xdr:row>
      <xdr:rowOff>28575</xdr:rowOff>
    </xdr:to>
    <xdr:pic>
      <xdr:nvPicPr>
        <xdr:cNvPr id="104" name="Imagen 1">
          <a:extLst>
            <a:ext uri="{FF2B5EF4-FFF2-40B4-BE49-F238E27FC236}">
              <a16:creationId xmlns:a16="http://schemas.microsoft.com/office/drawing/2014/main" id="{42A2DDCB-4637-4867-8678-1AEA6EE2265A}"/>
            </a:ext>
            <a:ext uri="{147F2762-F138-4A5C-976F-8EAC2B608ADB}">
              <a16:predDERef xmlns:a16="http://schemas.microsoft.com/office/drawing/2014/main" pred="{E03C7FA8-5B49-4A56-A762-FB925DFF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105" name="Imagen 1">
          <a:extLst>
            <a:ext uri="{FF2B5EF4-FFF2-40B4-BE49-F238E27FC236}">
              <a16:creationId xmlns:a16="http://schemas.microsoft.com/office/drawing/2014/main" id="{F011BF10-58BC-4B86-B73F-5F9F55A8BA0A}"/>
            </a:ext>
            <a:ext uri="{147F2762-F138-4A5C-976F-8EAC2B608ADB}">
              <a16:predDERef xmlns:a16="http://schemas.microsoft.com/office/drawing/2014/main" pred="{42A2DDCB-4637-4867-8678-1AEA6EE22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28575</xdr:rowOff>
    </xdr:to>
    <xdr:pic>
      <xdr:nvPicPr>
        <xdr:cNvPr id="106" name="Imagen 1">
          <a:extLst>
            <a:ext uri="{FF2B5EF4-FFF2-40B4-BE49-F238E27FC236}">
              <a16:creationId xmlns:a16="http://schemas.microsoft.com/office/drawing/2014/main" id="{D9B732D6-A45D-49F5-97AB-50D3E9A76657}"/>
            </a:ext>
            <a:ext uri="{147F2762-F138-4A5C-976F-8EAC2B608ADB}">
              <a16:predDERef xmlns:a16="http://schemas.microsoft.com/office/drawing/2014/main" pred="{F011BF10-58BC-4B86-B73F-5F9F55A8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107" name="Imagen 1">
          <a:extLst>
            <a:ext uri="{FF2B5EF4-FFF2-40B4-BE49-F238E27FC236}">
              <a16:creationId xmlns:a16="http://schemas.microsoft.com/office/drawing/2014/main" id="{33F68ACE-5262-4AED-BC2B-371DA451BB14}"/>
            </a:ext>
            <a:ext uri="{147F2762-F138-4A5C-976F-8EAC2B608ADB}">
              <a16:predDERef xmlns:a16="http://schemas.microsoft.com/office/drawing/2014/main" pred="{D9B732D6-A45D-49F5-97AB-50D3E9A7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28575</xdr:rowOff>
    </xdr:to>
    <xdr:pic>
      <xdr:nvPicPr>
        <xdr:cNvPr id="108" name="Imagen 1">
          <a:extLst>
            <a:ext uri="{FF2B5EF4-FFF2-40B4-BE49-F238E27FC236}">
              <a16:creationId xmlns:a16="http://schemas.microsoft.com/office/drawing/2014/main" id="{82AB60F6-9DA0-426A-9B30-174D7E390BA3}"/>
            </a:ext>
            <a:ext uri="{147F2762-F138-4A5C-976F-8EAC2B608ADB}">
              <a16:predDERef xmlns:a16="http://schemas.microsoft.com/office/drawing/2014/main" pred="{33F68ACE-5262-4AED-BC2B-371DA451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133350</xdr:colOff>
      <xdr:row>16</xdr:row>
      <xdr:rowOff>38100</xdr:rowOff>
    </xdr:to>
    <xdr:pic>
      <xdr:nvPicPr>
        <xdr:cNvPr id="109" name="Imagen 1">
          <a:extLst>
            <a:ext uri="{FF2B5EF4-FFF2-40B4-BE49-F238E27FC236}">
              <a16:creationId xmlns:a16="http://schemas.microsoft.com/office/drawing/2014/main" id="{01E7DB8D-79A0-493A-B58A-E5CA2932F899}"/>
            </a:ext>
            <a:ext uri="{147F2762-F138-4A5C-976F-8EAC2B608ADB}">
              <a16:predDERef xmlns:a16="http://schemas.microsoft.com/office/drawing/2014/main" pred="{82AB60F6-9DA0-426A-9B30-174D7E39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38100</xdr:rowOff>
    </xdr:to>
    <xdr:pic>
      <xdr:nvPicPr>
        <xdr:cNvPr id="110" name="Imagen 1">
          <a:extLst>
            <a:ext uri="{FF2B5EF4-FFF2-40B4-BE49-F238E27FC236}">
              <a16:creationId xmlns:a16="http://schemas.microsoft.com/office/drawing/2014/main" id="{D49F4A60-277E-4D3E-9768-B4C4D8B7DCCA}"/>
            </a:ext>
            <a:ext uri="{147F2762-F138-4A5C-976F-8EAC2B608ADB}">
              <a16:predDERef xmlns:a16="http://schemas.microsoft.com/office/drawing/2014/main" pred="{01E7DB8D-79A0-493A-B58A-E5CA2932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38100</xdr:rowOff>
    </xdr:to>
    <xdr:pic>
      <xdr:nvPicPr>
        <xdr:cNvPr id="111" name="Imagen 1">
          <a:extLst>
            <a:ext uri="{FF2B5EF4-FFF2-40B4-BE49-F238E27FC236}">
              <a16:creationId xmlns:a16="http://schemas.microsoft.com/office/drawing/2014/main" id="{7D11DA01-F8F6-4D85-B27A-E300ECD02A93}"/>
            </a:ext>
            <a:ext uri="{147F2762-F138-4A5C-976F-8EAC2B608ADB}">
              <a16:predDERef xmlns:a16="http://schemas.microsoft.com/office/drawing/2014/main" pred="{D49F4A60-277E-4D3E-9768-B4C4D8B7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38100</xdr:rowOff>
    </xdr:to>
    <xdr:pic>
      <xdr:nvPicPr>
        <xdr:cNvPr id="112" name="Imagen 1">
          <a:extLst>
            <a:ext uri="{FF2B5EF4-FFF2-40B4-BE49-F238E27FC236}">
              <a16:creationId xmlns:a16="http://schemas.microsoft.com/office/drawing/2014/main" id="{101FAF4F-1082-43DA-860E-9749E5A8EE58}"/>
            </a:ext>
            <a:ext uri="{147F2762-F138-4A5C-976F-8EAC2B608ADB}">
              <a16:predDERef xmlns:a16="http://schemas.microsoft.com/office/drawing/2014/main" pred="{7D11DA01-F8F6-4D85-B27A-E300ECD02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38100</xdr:rowOff>
    </xdr:to>
    <xdr:pic>
      <xdr:nvPicPr>
        <xdr:cNvPr id="113" name="Imagen 1">
          <a:extLst>
            <a:ext uri="{FF2B5EF4-FFF2-40B4-BE49-F238E27FC236}">
              <a16:creationId xmlns:a16="http://schemas.microsoft.com/office/drawing/2014/main" id="{3F8A943E-B8D8-4CB8-A028-F338E52BCD8D}"/>
            </a:ext>
            <a:ext uri="{147F2762-F138-4A5C-976F-8EAC2B608ADB}">
              <a16:predDERef xmlns:a16="http://schemas.microsoft.com/office/drawing/2014/main" pred="{101FAF4F-1082-43DA-860E-9749E5A8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38100</xdr:rowOff>
    </xdr:to>
    <xdr:pic>
      <xdr:nvPicPr>
        <xdr:cNvPr id="114" name="Imagen 1">
          <a:extLst>
            <a:ext uri="{FF2B5EF4-FFF2-40B4-BE49-F238E27FC236}">
              <a16:creationId xmlns:a16="http://schemas.microsoft.com/office/drawing/2014/main" id="{E6F527F1-D402-490E-8FD3-E1CEF0C6B8BC}"/>
            </a:ext>
            <a:ext uri="{147F2762-F138-4A5C-976F-8EAC2B608ADB}">
              <a16:predDERef xmlns:a16="http://schemas.microsoft.com/office/drawing/2014/main" pred="{3F8A943E-B8D8-4CB8-A028-F338E52B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38100</xdr:rowOff>
    </xdr:to>
    <xdr:pic>
      <xdr:nvPicPr>
        <xdr:cNvPr id="115" name="Imagen 1">
          <a:extLst>
            <a:ext uri="{FF2B5EF4-FFF2-40B4-BE49-F238E27FC236}">
              <a16:creationId xmlns:a16="http://schemas.microsoft.com/office/drawing/2014/main" id="{74D6A83F-B601-4327-9C31-BA64FB40A2E4}"/>
            </a:ext>
            <a:ext uri="{147F2762-F138-4A5C-976F-8EAC2B608ADB}">
              <a16:predDERef xmlns:a16="http://schemas.microsoft.com/office/drawing/2014/main" pred="{E6F527F1-D402-490E-8FD3-E1CEF0C6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28575</xdr:rowOff>
    </xdr:to>
    <xdr:pic>
      <xdr:nvPicPr>
        <xdr:cNvPr id="116" name="Imagen 1">
          <a:extLst>
            <a:ext uri="{FF2B5EF4-FFF2-40B4-BE49-F238E27FC236}">
              <a16:creationId xmlns:a16="http://schemas.microsoft.com/office/drawing/2014/main" id="{F0C0E988-AC3C-4C4C-B9D8-7A0CE031C0B1}"/>
            </a:ext>
            <a:ext uri="{147F2762-F138-4A5C-976F-8EAC2B608ADB}">
              <a16:predDERef xmlns:a16="http://schemas.microsoft.com/office/drawing/2014/main" pred="{74D6A83F-B601-4327-9C31-BA64FB40A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28575</xdr:rowOff>
    </xdr:to>
    <xdr:pic>
      <xdr:nvPicPr>
        <xdr:cNvPr id="117" name="Imagen 1">
          <a:extLst>
            <a:ext uri="{FF2B5EF4-FFF2-40B4-BE49-F238E27FC236}">
              <a16:creationId xmlns:a16="http://schemas.microsoft.com/office/drawing/2014/main" id="{0F937834-C365-40AA-B5A4-8B139424E93C}"/>
            </a:ext>
            <a:ext uri="{147F2762-F138-4A5C-976F-8EAC2B608ADB}">
              <a16:predDERef xmlns:a16="http://schemas.microsoft.com/office/drawing/2014/main" pred="{F0C0E988-AC3C-4C4C-B9D8-7A0CE031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133350</xdr:colOff>
      <xdr:row>25</xdr:row>
      <xdr:rowOff>28575</xdr:rowOff>
    </xdr:to>
    <xdr:pic>
      <xdr:nvPicPr>
        <xdr:cNvPr id="118" name="Imagen 1">
          <a:extLst>
            <a:ext uri="{FF2B5EF4-FFF2-40B4-BE49-F238E27FC236}">
              <a16:creationId xmlns:a16="http://schemas.microsoft.com/office/drawing/2014/main" id="{A2B3D10C-A51B-4606-BFDE-CAB1A71DE37D}"/>
            </a:ext>
            <a:ext uri="{147F2762-F138-4A5C-976F-8EAC2B608ADB}">
              <a16:predDERef xmlns:a16="http://schemas.microsoft.com/office/drawing/2014/main" pred="{0F937834-C365-40AA-B5A4-8B139424E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133350</xdr:colOff>
      <xdr:row>16</xdr:row>
      <xdr:rowOff>38100</xdr:rowOff>
    </xdr:to>
    <xdr:pic>
      <xdr:nvPicPr>
        <xdr:cNvPr id="119" name="Imagen 1">
          <a:extLst>
            <a:ext uri="{FF2B5EF4-FFF2-40B4-BE49-F238E27FC236}">
              <a16:creationId xmlns:a16="http://schemas.microsoft.com/office/drawing/2014/main" id="{723BA59A-7948-4000-A78D-5C43E4E29EC8}"/>
            </a:ext>
            <a:ext uri="{147F2762-F138-4A5C-976F-8EAC2B608ADB}">
              <a16:predDERef xmlns:a16="http://schemas.microsoft.com/office/drawing/2014/main" pred="{A2B3D10C-A51B-4606-BFDE-CAB1A71DE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133350</xdr:colOff>
      <xdr:row>17</xdr:row>
      <xdr:rowOff>38100</xdr:rowOff>
    </xdr:to>
    <xdr:pic>
      <xdr:nvPicPr>
        <xdr:cNvPr id="120" name="Imagen 1">
          <a:extLst>
            <a:ext uri="{FF2B5EF4-FFF2-40B4-BE49-F238E27FC236}">
              <a16:creationId xmlns:a16="http://schemas.microsoft.com/office/drawing/2014/main" id="{E9FEA33A-840B-4542-8E87-BAEDA494181F}"/>
            </a:ext>
            <a:ext uri="{147F2762-F138-4A5C-976F-8EAC2B608ADB}">
              <a16:predDERef xmlns:a16="http://schemas.microsoft.com/office/drawing/2014/main" pred="{723BA59A-7948-4000-A78D-5C43E4E29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133350</xdr:colOff>
      <xdr:row>18</xdr:row>
      <xdr:rowOff>38100</xdr:rowOff>
    </xdr:to>
    <xdr:pic>
      <xdr:nvPicPr>
        <xdr:cNvPr id="121" name="Imagen 1">
          <a:extLst>
            <a:ext uri="{FF2B5EF4-FFF2-40B4-BE49-F238E27FC236}">
              <a16:creationId xmlns:a16="http://schemas.microsoft.com/office/drawing/2014/main" id="{06674ABE-D23C-4A88-A7E5-1680B59BDF5E}"/>
            </a:ext>
            <a:ext uri="{147F2762-F138-4A5C-976F-8EAC2B608ADB}">
              <a16:predDERef xmlns:a16="http://schemas.microsoft.com/office/drawing/2014/main" pred="{E9FEA33A-840B-4542-8E87-BAEDA494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133350</xdr:colOff>
      <xdr:row>19</xdr:row>
      <xdr:rowOff>38100</xdr:rowOff>
    </xdr:to>
    <xdr:pic>
      <xdr:nvPicPr>
        <xdr:cNvPr id="122" name="Imagen 1">
          <a:extLst>
            <a:ext uri="{FF2B5EF4-FFF2-40B4-BE49-F238E27FC236}">
              <a16:creationId xmlns:a16="http://schemas.microsoft.com/office/drawing/2014/main" id="{7150188C-AB02-4710-B17B-99BECF005F01}"/>
            </a:ext>
            <a:ext uri="{147F2762-F138-4A5C-976F-8EAC2B608ADB}">
              <a16:predDERef xmlns:a16="http://schemas.microsoft.com/office/drawing/2014/main" pred="{06674ABE-D23C-4A88-A7E5-1680B59B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133350</xdr:colOff>
      <xdr:row>20</xdr:row>
      <xdr:rowOff>38100</xdr:rowOff>
    </xdr:to>
    <xdr:pic>
      <xdr:nvPicPr>
        <xdr:cNvPr id="123" name="Imagen 1">
          <a:extLst>
            <a:ext uri="{FF2B5EF4-FFF2-40B4-BE49-F238E27FC236}">
              <a16:creationId xmlns:a16="http://schemas.microsoft.com/office/drawing/2014/main" id="{5C565537-F093-4300-BFDD-A89BDAAF3E55}"/>
            </a:ext>
            <a:ext uri="{147F2762-F138-4A5C-976F-8EAC2B608ADB}">
              <a16:predDERef xmlns:a16="http://schemas.microsoft.com/office/drawing/2014/main" pred="{7150188C-AB02-4710-B17B-99BECF00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133350</xdr:colOff>
      <xdr:row>21</xdr:row>
      <xdr:rowOff>38100</xdr:rowOff>
    </xdr:to>
    <xdr:pic>
      <xdr:nvPicPr>
        <xdr:cNvPr id="124" name="Imagen 1">
          <a:extLst>
            <a:ext uri="{FF2B5EF4-FFF2-40B4-BE49-F238E27FC236}">
              <a16:creationId xmlns:a16="http://schemas.microsoft.com/office/drawing/2014/main" id="{8A117B5C-1CFD-4253-9922-7E1EA081E22D}"/>
            </a:ext>
            <a:ext uri="{147F2762-F138-4A5C-976F-8EAC2B608ADB}">
              <a16:predDERef xmlns:a16="http://schemas.microsoft.com/office/drawing/2014/main" pred="{5C565537-F093-4300-BFDD-A89BDAAF3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133350</xdr:colOff>
      <xdr:row>22</xdr:row>
      <xdr:rowOff>38100</xdr:rowOff>
    </xdr:to>
    <xdr:pic>
      <xdr:nvPicPr>
        <xdr:cNvPr id="125" name="Imagen 1">
          <a:extLst>
            <a:ext uri="{FF2B5EF4-FFF2-40B4-BE49-F238E27FC236}">
              <a16:creationId xmlns:a16="http://schemas.microsoft.com/office/drawing/2014/main" id="{4EB8C456-0A1A-4CAC-BE31-9DB46E76A009}"/>
            </a:ext>
            <a:ext uri="{147F2762-F138-4A5C-976F-8EAC2B608ADB}">
              <a16:predDERef xmlns:a16="http://schemas.microsoft.com/office/drawing/2014/main" pred="{8A117B5C-1CFD-4253-9922-7E1EA081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133350</xdr:colOff>
      <xdr:row>23</xdr:row>
      <xdr:rowOff>28575</xdr:rowOff>
    </xdr:to>
    <xdr:pic>
      <xdr:nvPicPr>
        <xdr:cNvPr id="126" name="Imagen 1">
          <a:extLst>
            <a:ext uri="{FF2B5EF4-FFF2-40B4-BE49-F238E27FC236}">
              <a16:creationId xmlns:a16="http://schemas.microsoft.com/office/drawing/2014/main" id="{FCF29A1A-AF69-4EAC-8996-622351D62C8A}"/>
            </a:ext>
            <a:ext uri="{147F2762-F138-4A5C-976F-8EAC2B608ADB}">
              <a16:predDERef xmlns:a16="http://schemas.microsoft.com/office/drawing/2014/main" pred="{4EB8C456-0A1A-4CAC-BE31-9DB46E76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133350</xdr:colOff>
      <xdr:row>24</xdr:row>
      <xdr:rowOff>28575</xdr:rowOff>
    </xdr:to>
    <xdr:pic>
      <xdr:nvPicPr>
        <xdr:cNvPr id="127" name="Imagen 1">
          <a:extLst>
            <a:ext uri="{FF2B5EF4-FFF2-40B4-BE49-F238E27FC236}">
              <a16:creationId xmlns:a16="http://schemas.microsoft.com/office/drawing/2014/main" id="{6E438417-A224-4FDA-BBD6-F43576BEA01E}"/>
            </a:ext>
            <a:ext uri="{147F2762-F138-4A5C-976F-8EAC2B608ADB}">
              <a16:predDERef xmlns:a16="http://schemas.microsoft.com/office/drawing/2014/main" pred="{FCF29A1A-AF69-4EAC-8996-622351D62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133350</xdr:colOff>
      <xdr:row>25</xdr:row>
      <xdr:rowOff>28575</xdr:rowOff>
    </xdr:to>
    <xdr:pic>
      <xdr:nvPicPr>
        <xdr:cNvPr id="128" name="Imagen 1">
          <a:extLst>
            <a:ext uri="{FF2B5EF4-FFF2-40B4-BE49-F238E27FC236}">
              <a16:creationId xmlns:a16="http://schemas.microsoft.com/office/drawing/2014/main" id="{23C95DD4-0FDA-487D-8FFF-D332C97910A6}"/>
            </a:ext>
            <a:ext uri="{147F2762-F138-4A5C-976F-8EAC2B608ADB}">
              <a16:predDERef xmlns:a16="http://schemas.microsoft.com/office/drawing/2014/main" pred="{6E438417-A224-4FDA-BBD6-F43576BE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133350</xdr:colOff>
      <xdr:row>16</xdr:row>
      <xdr:rowOff>38100</xdr:rowOff>
    </xdr:to>
    <xdr:pic>
      <xdr:nvPicPr>
        <xdr:cNvPr id="129" name="Imagen 1">
          <a:extLst>
            <a:ext uri="{FF2B5EF4-FFF2-40B4-BE49-F238E27FC236}">
              <a16:creationId xmlns:a16="http://schemas.microsoft.com/office/drawing/2014/main" id="{AB8006B2-DF91-4DD4-BA8C-9FFDC79A8E57}"/>
            </a:ext>
            <a:ext uri="{147F2762-F138-4A5C-976F-8EAC2B608ADB}">
              <a16:predDERef xmlns:a16="http://schemas.microsoft.com/office/drawing/2014/main" pred="{23C95DD4-0FDA-487D-8FFF-D332C979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133350</xdr:colOff>
      <xdr:row>17</xdr:row>
      <xdr:rowOff>38100</xdr:rowOff>
    </xdr:to>
    <xdr:pic>
      <xdr:nvPicPr>
        <xdr:cNvPr id="130" name="Imagen 1">
          <a:extLst>
            <a:ext uri="{FF2B5EF4-FFF2-40B4-BE49-F238E27FC236}">
              <a16:creationId xmlns:a16="http://schemas.microsoft.com/office/drawing/2014/main" id="{D5D82619-59D7-4487-9937-960940EC07E7}"/>
            </a:ext>
            <a:ext uri="{147F2762-F138-4A5C-976F-8EAC2B608ADB}">
              <a16:predDERef xmlns:a16="http://schemas.microsoft.com/office/drawing/2014/main" pred="{AB8006B2-DF91-4DD4-BA8C-9FFDC79A8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133350</xdr:colOff>
      <xdr:row>18</xdr:row>
      <xdr:rowOff>38100</xdr:rowOff>
    </xdr:to>
    <xdr:pic>
      <xdr:nvPicPr>
        <xdr:cNvPr id="131" name="Imagen 1">
          <a:extLst>
            <a:ext uri="{FF2B5EF4-FFF2-40B4-BE49-F238E27FC236}">
              <a16:creationId xmlns:a16="http://schemas.microsoft.com/office/drawing/2014/main" id="{0EE38F48-8FA7-4592-8E5D-4D7B326110EB}"/>
            </a:ext>
            <a:ext uri="{147F2762-F138-4A5C-976F-8EAC2B608ADB}">
              <a16:predDERef xmlns:a16="http://schemas.microsoft.com/office/drawing/2014/main" pred="{D5D82619-59D7-4487-9937-960940EC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133350</xdr:colOff>
      <xdr:row>19</xdr:row>
      <xdr:rowOff>38100</xdr:rowOff>
    </xdr:to>
    <xdr:pic>
      <xdr:nvPicPr>
        <xdr:cNvPr id="132" name="Imagen 1">
          <a:extLst>
            <a:ext uri="{FF2B5EF4-FFF2-40B4-BE49-F238E27FC236}">
              <a16:creationId xmlns:a16="http://schemas.microsoft.com/office/drawing/2014/main" id="{EA4B194F-5261-4AAE-BFBC-6D91C249528F}"/>
            </a:ext>
            <a:ext uri="{147F2762-F138-4A5C-976F-8EAC2B608ADB}">
              <a16:predDERef xmlns:a16="http://schemas.microsoft.com/office/drawing/2014/main" pred="{0EE38F48-8FA7-4592-8E5D-4D7B32611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133350</xdr:colOff>
      <xdr:row>20</xdr:row>
      <xdr:rowOff>38100</xdr:rowOff>
    </xdr:to>
    <xdr:pic>
      <xdr:nvPicPr>
        <xdr:cNvPr id="133" name="Imagen 1">
          <a:extLst>
            <a:ext uri="{FF2B5EF4-FFF2-40B4-BE49-F238E27FC236}">
              <a16:creationId xmlns:a16="http://schemas.microsoft.com/office/drawing/2014/main" id="{041A564B-2881-4452-8DCC-CAC97C847303}"/>
            </a:ext>
            <a:ext uri="{147F2762-F138-4A5C-976F-8EAC2B608ADB}">
              <a16:predDERef xmlns:a16="http://schemas.microsoft.com/office/drawing/2014/main" pred="{EA4B194F-5261-4AAE-BFBC-6D91C2495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133350</xdr:colOff>
      <xdr:row>21</xdr:row>
      <xdr:rowOff>38100</xdr:rowOff>
    </xdr:to>
    <xdr:pic>
      <xdr:nvPicPr>
        <xdr:cNvPr id="134" name="Imagen 1">
          <a:extLst>
            <a:ext uri="{FF2B5EF4-FFF2-40B4-BE49-F238E27FC236}">
              <a16:creationId xmlns:a16="http://schemas.microsoft.com/office/drawing/2014/main" id="{DBDADEB9-65D3-4262-908B-1559550BD24B}"/>
            </a:ext>
            <a:ext uri="{147F2762-F138-4A5C-976F-8EAC2B608ADB}">
              <a16:predDERef xmlns:a16="http://schemas.microsoft.com/office/drawing/2014/main" pred="{041A564B-2881-4452-8DCC-CAC97C84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133350</xdr:colOff>
      <xdr:row>22</xdr:row>
      <xdr:rowOff>38100</xdr:rowOff>
    </xdr:to>
    <xdr:pic>
      <xdr:nvPicPr>
        <xdr:cNvPr id="135" name="Imagen 1">
          <a:extLst>
            <a:ext uri="{FF2B5EF4-FFF2-40B4-BE49-F238E27FC236}">
              <a16:creationId xmlns:a16="http://schemas.microsoft.com/office/drawing/2014/main" id="{CA71DBB9-879F-4B00-AEDF-0964C4BE80FC}"/>
            </a:ext>
            <a:ext uri="{147F2762-F138-4A5C-976F-8EAC2B608ADB}">
              <a16:predDERef xmlns:a16="http://schemas.microsoft.com/office/drawing/2014/main" pred="{DBDADEB9-65D3-4262-908B-1559550B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133350</xdr:colOff>
      <xdr:row>23</xdr:row>
      <xdr:rowOff>28575</xdr:rowOff>
    </xdr:to>
    <xdr:pic>
      <xdr:nvPicPr>
        <xdr:cNvPr id="136" name="Imagen 1">
          <a:extLst>
            <a:ext uri="{FF2B5EF4-FFF2-40B4-BE49-F238E27FC236}">
              <a16:creationId xmlns:a16="http://schemas.microsoft.com/office/drawing/2014/main" id="{12EA9AC2-7CF5-45E0-B55C-38A1F1D9DCDF}"/>
            </a:ext>
            <a:ext uri="{147F2762-F138-4A5C-976F-8EAC2B608ADB}">
              <a16:predDERef xmlns:a16="http://schemas.microsoft.com/office/drawing/2014/main" pred="{CA71DBB9-879F-4B00-AEDF-0964C4BE8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133350</xdr:colOff>
      <xdr:row>24</xdr:row>
      <xdr:rowOff>28575</xdr:rowOff>
    </xdr:to>
    <xdr:pic>
      <xdr:nvPicPr>
        <xdr:cNvPr id="137" name="Imagen 1">
          <a:extLst>
            <a:ext uri="{FF2B5EF4-FFF2-40B4-BE49-F238E27FC236}">
              <a16:creationId xmlns:a16="http://schemas.microsoft.com/office/drawing/2014/main" id="{E627F3B0-9FB4-477A-BF46-A768982BEA6F}"/>
            </a:ext>
            <a:ext uri="{147F2762-F138-4A5C-976F-8EAC2B608ADB}">
              <a16:predDERef xmlns:a16="http://schemas.microsoft.com/office/drawing/2014/main" pred="{12EA9AC2-7CF5-45E0-B55C-38A1F1D9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133350</xdr:colOff>
      <xdr:row>25</xdr:row>
      <xdr:rowOff>28575</xdr:rowOff>
    </xdr:to>
    <xdr:pic>
      <xdr:nvPicPr>
        <xdr:cNvPr id="138" name="Imagen 1">
          <a:extLst>
            <a:ext uri="{FF2B5EF4-FFF2-40B4-BE49-F238E27FC236}">
              <a16:creationId xmlns:a16="http://schemas.microsoft.com/office/drawing/2014/main" id="{B1329A17-252B-4EAB-8FFD-639173DB35A1}"/>
            </a:ext>
            <a:ext uri="{147F2762-F138-4A5C-976F-8EAC2B608ADB}">
              <a16:predDERef xmlns:a16="http://schemas.microsoft.com/office/drawing/2014/main" pred="{E627F3B0-9FB4-477A-BF46-A768982B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133350</xdr:colOff>
      <xdr:row>16</xdr:row>
      <xdr:rowOff>38100</xdr:rowOff>
    </xdr:to>
    <xdr:pic>
      <xdr:nvPicPr>
        <xdr:cNvPr id="139" name="Imagen 1">
          <a:extLst>
            <a:ext uri="{FF2B5EF4-FFF2-40B4-BE49-F238E27FC236}">
              <a16:creationId xmlns:a16="http://schemas.microsoft.com/office/drawing/2014/main" id="{F24749BC-43E8-48EA-B0A9-435E37CA4C43}"/>
            </a:ext>
            <a:ext uri="{147F2762-F138-4A5C-976F-8EAC2B608ADB}">
              <a16:predDERef xmlns:a16="http://schemas.microsoft.com/office/drawing/2014/main" pred="{B1329A17-252B-4EAB-8FFD-639173DB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133350</xdr:colOff>
      <xdr:row>17</xdr:row>
      <xdr:rowOff>38100</xdr:rowOff>
    </xdr:to>
    <xdr:pic>
      <xdr:nvPicPr>
        <xdr:cNvPr id="140" name="Imagen 1">
          <a:extLst>
            <a:ext uri="{FF2B5EF4-FFF2-40B4-BE49-F238E27FC236}">
              <a16:creationId xmlns:a16="http://schemas.microsoft.com/office/drawing/2014/main" id="{C6F43673-BC89-4A89-B9B3-831E72E4F19F}"/>
            </a:ext>
            <a:ext uri="{147F2762-F138-4A5C-976F-8EAC2B608ADB}">
              <a16:predDERef xmlns:a16="http://schemas.microsoft.com/office/drawing/2014/main" pred="{F24749BC-43E8-48EA-B0A9-435E37CA4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133350</xdr:colOff>
      <xdr:row>18</xdr:row>
      <xdr:rowOff>38100</xdr:rowOff>
    </xdr:to>
    <xdr:pic>
      <xdr:nvPicPr>
        <xdr:cNvPr id="141" name="Imagen 1">
          <a:extLst>
            <a:ext uri="{FF2B5EF4-FFF2-40B4-BE49-F238E27FC236}">
              <a16:creationId xmlns:a16="http://schemas.microsoft.com/office/drawing/2014/main" id="{893C8591-5303-43FA-A90D-2131963DEF9D}"/>
            </a:ext>
            <a:ext uri="{147F2762-F138-4A5C-976F-8EAC2B608ADB}">
              <a16:predDERef xmlns:a16="http://schemas.microsoft.com/office/drawing/2014/main" pred="{C6F43673-BC89-4A89-B9B3-831E72E4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133350</xdr:colOff>
      <xdr:row>19</xdr:row>
      <xdr:rowOff>38100</xdr:rowOff>
    </xdr:to>
    <xdr:pic>
      <xdr:nvPicPr>
        <xdr:cNvPr id="142" name="Imagen 1">
          <a:extLst>
            <a:ext uri="{FF2B5EF4-FFF2-40B4-BE49-F238E27FC236}">
              <a16:creationId xmlns:a16="http://schemas.microsoft.com/office/drawing/2014/main" id="{BB7118D6-496E-4AE0-93E1-05978E888308}"/>
            </a:ext>
            <a:ext uri="{147F2762-F138-4A5C-976F-8EAC2B608ADB}">
              <a16:predDERef xmlns:a16="http://schemas.microsoft.com/office/drawing/2014/main" pred="{893C8591-5303-43FA-A90D-2131963D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133350</xdr:colOff>
      <xdr:row>20</xdr:row>
      <xdr:rowOff>38100</xdr:rowOff>
    </xdr:to>
    <xdr:pic>
      <xdr:nvPicPr>
        <xdr:cNvPr id="143" name="Imagen 1">
          <a:extLst>
            <a:ext uri="{FF2B5EF4-FFF2-40B4-BE49-F238E27FC236}">
              <a16:creationId xmlns:a16="http://schemas.microsoft.com/office/drawing/2014/main" id="{BBDB86A4-2C3B-4FA6-8BE1-04E7A3703C0D}"/>
            </a:ext>
            <a:ext uri="{147F2762-F138-4A5C-976F-8EAC2B608ADB}">
              <a16:predDERef xmlns:a16="http://schemas.microsoft.com/office/drawing/2014/main" pred="{BB7118D6-496E-4AE0-93E1-05978E888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133350</xdr:colOff>
      <xdr:row>21</xdr:row>
      <xdr:rowOff>38100</xdr:rowOff>
    </xdr:to>
    <xdr:pic>
      <xdr:nvPicPr>
        <xdr:cNvPr id="144" name="Imagen 1">
          <a:extLst>
            <a:ext uri="{FF2B5EF4-FFF2-40B4-BE49-F238E27FC236}">
              <a16:creationId xmlns:a16="http://schemas.microsoft.com/office/drawing/2014/main" id="{79AB0435-077F-4488-9CC5-C36B80B20A31}"/>
            </a:ext>
            <a:ext uri="{147F2762-F138-4A5C-976F-8EAC2B608ADB}">
              <a16:predDERef xmlns:a16="http://schemas.microsoft.com/office/drawing/2014/main" pred="{BBDB86A4-2C3B-4FA6-8BE1-04E7A3703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133350</xdr:colOff>
      <xdr:row>22</xdr:row>
      <xdr:rowOff>38100</xdr:rowOff>
    </xdr:to>
    <xdr:pic>
      <xdr:nvPicPr>
        <xdr:cNvPr id="145" name="Imagen 1">
          <a:extLst>
            <a:ext uri="{FF2B5EF4-FFF2-40B4-BE49-F238E27FC236}">
              <a16:creationId xmlns:a16="http://schemas.microsoft.com/office/drawing/2014/main" id="{EF2E9D57-CDEC-42E1-89A8-D3E80740AD05}"/>
            </a:ext>
            <a:ext uri="{147F2762-F138-4A5C-976F-8EAC2B608ADB}">
              <a16:predDERef xmlns:a16="http://schemas.microsoft.com/office/drawing/2014/main" pred="{79AB0435-077F-4488-9CC5-C36B80B2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133350</xdr:colOff>
      <xdr:row>23</xdr:row>
      <xdr:rowOff>28575</xdr:rowOff>
    </xdr:to>
    <xdr:pic>
      <xdr:nvPicPr>
        <xdr:cNvPr id="146" name="Imagen 1">
          <a:extLst>
            <a:ext uri="{FF2B5EF4-FFF2-40B4-BE49-F238E27FC236}">
              <a16:creationId xmlns:a16="http://schemas.microsoft.com/office/drawing/2014/main" id="{D902BD38-F433-44EB-92EA-A0AFD87E8843}"/>
            </a:ext>
            <a:ext uri="{147F2762-F138-4A5C-976F-8EAC2B608ADB}">
              <a16:predDERef xmlns:a16="http://schemas.microsoft.com/office/drawing/2014/main" pred="{EF2E9D57-CDEC-42E1-89A8-D3E80740A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133350</xdr:colOff>
      <xdr:row>24</xdr:row>
      <xdr:rowOff>28575</xdr:rowOff>
    </xdr:to>
    <xdr:pic>
      <xdr:nvPicPr>
        <xdr:cNvPr id="147" name="Imagen 1">
          <a:extLst>
            <a:ext uri="{FF2B5EF4-FFF2-40B4-BE49-F238E27FC236}">
              <a16:creationId xmlns:a16="http://schemas.microsoft.com/office/drawing/2014/main" id="{64C37B85-43B2-45E9-80F9-3F6DBB7057C3}"/>
            </a:ext>
            <a:ext uri="{147F2762-F138-4A5C-976F-8EAC2B608ADB}">
              <a16:predDERef xmlns:a16="http://schemas.microsoft.com/office/drawing/2014/main" pred="{D902BD38-F433-44EB-92EA-A0AFD87E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133350</xdr:colOff>
      <xdr:row>25</xdr:row>
      <xdr:rowOff>28575</xdr:rowOff>
    </xdr:to>
    <xdr:pic>
      <xdr:nvPicPr>
        <xdr:cNvPr id="148" name="Imagen 1">
          <a:extLst>
            <a:ext uri="{FF2B5EF4-FFF2-40B4-BE49-F238E27FC236}">
              <a16:creationId xmlns:a16="http://schemas.microsoft.com/office/drawing/2014/main" id="{C36E94CE-B3D7-42B8-A2B0-C0C5B1622776}"/>
            </a:ext>
            <a:ext uri="{147F2762-F138-4A5C-976F-8EAC2B608ADB}">
              <a16:predDERef xmlns:a16="http://schemas.microsoft.com/office/drawing/2014/main" pred="{64C37B85-43B2-45E9-80F9-3F6DBB70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133350</xdr:colOff>
      <xdr:row>16</xdr:row>
      <xdr:rowOff>38100</xdr:rowOff>
    </xdr:to>
    <xdr:pic>
      <xdr:nvPicPr>
        <xdr:cNvPr id="149" name="Imagen 1">
          <a:extLst>
            <a:ext uri="{FF2B5EF4-FFF2-40B4-BE49-F238E27FC236}">
              <a16:creationId xmlns:a16="http://schemas.microsoft.com/office/drawing/2014/main" id="{817AD615-EA28-423F-8A7A-704D4C025444}"/>
            </a:ext>
            <a:ext uri="{147F2762-F138-4A5C-976F-8EAC2B608ADB}">
              <a16:predDERef xmlns:a16="http://schemas.microsoft.com/office/drawing/2014/main" pred="{C36E94CE-B3D7-42B8-A2B0-C0C5B162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150" name="Imagen 1">
          <a:extLst>
            <a:ext uri="{FF2B5EF4-FFF2-40B4-BE49-F238E27FC236}">
              <a16:creationId xmlns:a16="http://schemas.microsoft.com/office/drawing/2014/main" id="{CD4D21EB-38D1-4959-8762-E4DC963C8A67}"/>
            </a:ext>
            <a:ext uri="{147F2762-F138-4A5C-976F-8EAC2B608ADB}">
              <a16:predDERef xmlns:a16="http://schemas.microsoft.com/office/drawing/2014/main" pred="{817AD615-EA28-423F-8A7A-704D4C025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151" name="Imagen 1">
          <a:extLst>
            <a:ext uri="{FF2B5EF4-FFF2-40B4-BE49-F238E27FC236}">
              <a16:creationId xmlns:a16="http://schemas.microsoft.com/office/drawing/2014/main" id="{D76315FF-6879-471A-8139-7BDA8FCB3781}"/>
            </a:ext>
            <a:ext uri="{147F2762-F138-4A5C-976F-8EAC2B608ADB}">
              <a16:predDERef xmlns:a16="http://schemas.microsoft.com/office/drawing/2014/main" pred="{CD4D21EB-38D1-4959-8762-E4DC963C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152" name="Imagen 1">
          <a:extLst>
            <a:ext uri="{FF2B5EF4-FFF2-40B4-BE49-F238E27FC236}">
              <a16:creationId xmlns:a16="http://schemas.microsoft.com/office/drawing/2014/main" id="{E8F9F7A2-B472-4C13-B85E-0959A498FD67}"/>
            </a:ext>
            <a:ext uri="{147F2762-F138-4A5C-976F-8EAC2B608ADB}">
              <a16:predDERef xmlns:a16="http://schemas.microsoft.com/office/drawing/2014/main" pred="{D76315FF-6879-471A-8139-7BDA8FCB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153" name="Imagen 1">
          <a:extLst>
            <a:ext uri="{FF2B5EF4-FFF2-40B4-BE49-F238E27FC236}">
              <a16:creationId xmlns:a16="http://schemas.microsoft.com/office/drawing/2014/main" id="{11B4EC72-BE0C-4370-9970-8C257F826A07}"/>
            </a:ext>
            <a:ext uri="{147F2762-F138-4A5C-976F-8EAC2B608ADB}">
              <a16:predDERef xmlns:a16="http://schemas.microsoft.com/office/drawing/2014/main" pred="{E8F9F7A2-B472-4C13-B85E-0959A498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154" name="Imagen 1">
          <a:extLst>
            <a:ext uri="{FF2B5EF4-FFF2-40B4-BE49-F238E27FC236}">
              <a16:creationId xmlns:a16="http://schemas.microsoft.com/office/drawing/2014/main" id="{E76A71F0-2270-4BB4-986E-69EBEE59499E}"/>
            </a:ext>
            <a:ext uri="{147F2762-F138-4A5C-976F-8EAC2B608ADB}">
              <a16:predDERef xmlns:a16="http://schemas.microsoft.com/office/drawing/2014/main" pred="{11B4EC72-BE0C-4370-9970-8C257F826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155" name="Imagen 1">
          <a:extLst>
            <a:ext uri="{FF2B5EF4-FFF2-40B4-BE49-F238E27FC236}">
              <a16:creationId xmlns:a16="http://schemas.microsoft.com/office/drawing/2014/main" id="{70B8991F-41B6-4EDF-8A84-AF9428F50101}"/>
            </a:ext>
            <a:ext uri="{147F2762-F138-4A5C-976F-8EAC2B608ADB}">
              <a16:predDERef xmlns:a16="http://schemas.microsoft.com/office/drawing/2014/main" pred="{E76A71F0-2270-4BB4-986E-69EBEE59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156" name="Imagen 1">
          <a:extLst>
            <a:ext uri="{FF2B5EF4-FFF2-40B4-BE49-F238E27FC236}">
              <a16:creationId xmlns:a16="http://schemas.microsoft.com/office/drawing/2014/main" id="{0DBF4222-F434-4493-B025-2F1F66B28E38}"/>
            </a:ext>
            <a:ext uri="{147F2762-F138-4A5C-976F-8EAC2B608ADB}">
              <a16:predDERef xmlns:a16="http://schemas.microsoft.com/office/drawing/2014/main" pred="{70B8991F-41B6-4EDF-8A84-AF9428F50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157" name="Imagen 1">
          <a:extLst>
            <a:ext uri="{FF2B5EF4-FFF2-40B4-BE49-F238E27FC236}">
              <a16:creationId xmlns:a16="http://schemas.microsoft.com/office/drawing/2014/main" id="{16B704A4-5CE9-4105-A080-83A9440F00AE}"/>
            </a:ext>
            <a:ext uri="{147F2762-F138-4A5C-976F-8EAC2B608ADB}">
              <a16:predDERef xmlns:a16="http://schemas.microsoft.com/office/drawing/2014/main" pred="{0DBF4222-F434-4493-B025-2F1F66B2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158" name="Imagen 1">
          <a:extLst>
            <a:ext uri="{FF2B5EF4-FFF2-40B4-BE49-F238E27FC236}">
              <a16:creationId xmlns:a16="http://schemas.microsoft.com/office/drawing/2014/main" id="{01A19EFE-0195-466B-8D0F-1C9210CDB1F1}"/>
            </a:ext>
            <a:ext uri="{147F2762-F138-4A5C-976F-8EAC2B608ADB}">
              <a16:predDERef xmlns:a16="http://schemas.microsoft.com/office/drawing/2014/main" pred="{16B704A4-5CE9-4105-A080-83A9440F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133350</xdr:colOff>
      <xdr:row>16</xdr:row>
      <xdr:rowOff>38100</xdr:rowOff>
    </xdr:to>
    <xdr:pic>
      <xdr:nvPicPr>
        <xdr:cNvPr id="159" name="Imagen 1">
          <a:extLst>
            <a:ext uri="{FF2B5EF4-FFF2-40B4-BE49-F238E27FC236}">
              <a16:creationId xmlns:a16="http://schemas.microsoft.com/office/drawing/2014/main" id="{BD4265EE-029A-4DE5-BE7F-7D3B9F397679}"/>
            </a:ext>
            <a:ext uri="{147F2762-F138-4A5C-976F-8EAC2B608ADB}">
              <a16:predDERef xmlns:a16="http://schemas.microsoft.com/office/drawing/2014/main" pred="{01A19EFE-0195-466B-8D0F-1C9210CD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160" name="Imagen 1">
          <a:extLst>
            <a:ext uri="{FF2B5EF4-FFF2-40B4-BE49-F238E27FC236}">
              <a16:creationId xmlns:a16="http://schemas.microsoft.com/office/drawing/2014/main" id="{5CE01509-BA57-4D63-8B31-19BA3476D64A}"/>
            </a:ext>
            <a:ext uri="{147F2762-F138-4A5C-976F-8EAC2B608ADB}">
              <a16:predDERef xmlns:a16="http://schemas.microsoft.com/office/drawing/2014/main" pred="{BD4265EE-029A-4DE5-BE7F-7D3B9F397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161" name="Imagen 1">
          <a:extLst>
            <a:ext uri="{FF2B5EF4-FFF2-40B4-BE49-F238E27FC236}">
              <a16:creationId xmlns:a16="http://schemas.microsoft.com/office/drawing/2014/main" id="{C4239BBF-72D7-4E84-911C-312F01EFD62B}"/>
            </a:ext>
            <a:ext uri="{147F2762-F138-4A5C-976F-8EAC2B608ADB}">
              <a16:predDERef xmlns:a16="http://schemas.microsoft.com/office/drawing/2014/main" pred="{5CE01509-BA57-4D63-8B31-19BA3476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162" name="Imagen 1">
          <a:extLst>
            <a:ext uri="{FF2B5EF4-FFF2-40B4-BE49-F238E27FC236}">
              <a16:creationId xmlns:a16="http://schemas.microsoft.com/office/drawing/2014/main" id="{2882D8B9-DA98-4CED-AC0A-54D135BA78FD}"/>
            </a:ext>
            <a:ext uri="{147F2762-F138-4A5C-976F-8EAC2B608ADB}">
              <a16:predDERef xmlns:a16="http://schemas.microsoft.com/office/drawing/2014/main" pred="{C4239BBF-72D7-4E84-911C-312F01EFD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163" name="Imagen 1">
          <a:extLst>
            <a:ext uri="{FF2B5EF4-FFF2-40B4-BE49-F238E27FC236}">
              <a16:creationId xmlns:a16="http://schemas.microsoft.com/office/drawing/2014/main" id="{02C2EAED-17FB-4C1E-B43C-FD2E9F04510A}"/>
            </a:ext>
            <a:ext uri="{147F2762-F138-4A5C-976F-8EAC2B608ADB}">
              <a16:predDERef xmlns:a16="http://schemas.microsoft.com/office/drawing/2014/main" pred="{2882D8B9-DA98-4CED-AC0A-54D135BA7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164" name="Imagen 1">
          <a:extLst>
            <a:ext uri="{FF2B5EF4-FFF2-40B4-BE49-F238E27FC236}">
              <a16:creationId xmlns:a16="http://schemas.microsoft.com/office/drawing/2014/main" id="{A89DB801-9B4C-4AF4-BCB9-1775CE55B209}"/>
            </a:ext>
            <a:ext uri="{147F2762-F138-4A5C-976F-8EAC2B608ADB}">
              <a16:predDERef xmlns:a16="http://schemas.microsoft.com/office/drawing/2014/main" pred="{02C2EAED-17FB-4C1E-B43C-FD2E9F0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165" name="Imagen 1">
          <a:extLst>
            <a:ext uri="{FF2B5EF4-FFF2-40B4-BE49-F238E27FC236}">
              <a16:creationId xmlns:a16="http://schemas.microsoft.com/office/drawing/2014/main" id="{452559E8-B991-493B-9BEC-C2F9779EE1EC}"/>
            </a:ext>
            <a:ext uri="{147F2762-F138-4A5C-976F-8EAC2B608ADB}">
              <a16:predDERef xmlns:a16="http://schemas.microsoft.com/office/drawing/2014/main" pred="{A89DB801-9B4C-4AF4-BCB9-1775CE55B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166" name="Imagen 1">
          <a:extLst>
            <a:ext uri="{FF2B5EF4-FFF2-40B4-BE49-F238E27FC236}">
              <a16:creationId xmlns:a16="http://schemas.microsoft.com/office/drawing/2014/main" id="{579F21A9-F6CF-4607-907B-01BC2FEA3C4A}"/>
            </a:ext>
            <a:ext uri="{147F2762-F138-4A5C-976F-8EAC2B608ADB}">
              <a16:predDERef xmlns:a16="http://schemas.microsoft.com/office/drawing/2014/main" pred="{452559E8-B991-493B-9BEC-C2F9779E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167" name="Imagen 1">
          <a:extLst>
            <a:ext uri="{FF2B5EF4-FFF2-40B4-BE49-F238E27FC236}">
              <a16:creationId xmlns:a16="http://schemas.microsoft.com/office/drawing/2014/main" id="{1F80EA19-144A-4426-B87A-18188764DE31}"/>
            </a:ext>
            <a:ext uri="{147F2762-F138-4A5C-976F-8EAC2B608ADB}">
              <a16:predDERef xmlns:a16="http://schemas.microsoft.com/office/drawing/2014/main" pred="{579F21A9-F6CF-4607-907B-01BC2FEA3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168" name="Imagen 1">
          <a:extLst>
            <a:ext uri="{FF2B5EF4-FFF2-40B4-BE49-F238E27FC236}">
              <a16:creationId xmlns:a16="http://schemas.microsoft.com/office/drawing/2014/main" id="{AE03BEFF-0149-4F8B-9F7F-D91430575938}"/>
            </a:ext>
            <a:ext uri="{147F2762-F138-4A5C-976F-8EAC2B608ADB}">
              <a16:predDERef xmlns:a16="http://schemas.microsoft.com/office/drawing/2014/main" pred="{1F80EA19-144A-4426-B87A-18188764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133350</xdr:colOff>
      <xdr:row>16</xdr:row>
      <xdr:rowOff>38100</xdr:rowOff>
    </xdr:to>
    <xdr:pic>
      <xdr:nvPicPr>
        <xdr:cNvPr id="169" name="Imagen 1">
          <a:extLst>
            <a:ext uri="{FF2B5EF4-FFF2-40B4-BE49-F238E27FC236}">
              <a16:creationId xmlns:a16="http://schemas.microsoft.com/office/drawing/2014/main" id="{5181D2B9-30C9-4AEE-AC0E-0A6A11E5DD24}"/>
            </a:ext>
            <a:ext uri="{147F2762-F138-4A5C-976F-8EAC2B608ADB}">
              <a16:predDERef xmlns:a16="http://schemas.microsoft.com/office/drawing/2014/main" pred="{AE03BEFF-0149-4F8B-9F7F-D9143057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133350</xdr:colOff>
      <xdr:row>16</xdr:row>
      <xdr:rowOff>38100</xdr:rowOff>
    </xdr:to>
    <xdr:pic>
      <xdr:nvPicPr>
        <xdr:cNvPr id="170" name="Imagen 1">
          <a:extLst>
            <a:ext uri="{FF2B5EF4-FFF2-40B4-BE49-F238E27FC236}">
              <a16:creationId xmlns:a16="http://schemas.microsoft.com/office/drawing/2014/main" id="{E00DABD2-F84E-42B4-ACE0-D222DC116D90}"/>
            </a:ext>
            <a:ext uri="{147F2762-F138-4A5C-976F-8EAC2B608ADB}">
              <a16:predDERef xmlns:a16="http://schemas.microsoft.com/office/drawing/2014/main" pred="{5181D2B9-30C9-4AEE-AC0E-0A6A11E5D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133350</xdr:colOff>
      <xdr:row>17</xdr:row>
      <xdr:rowOff>38100</xdr:rowOff>
    </xdr:to>
    <xdr:pic>
      <xdr:nvPicPr>
        <xdr:cNvPr id="171" name="Imagen 1">
          <a:extLst>
            <a:ext uri="{FF2B5EF4-FFF2-40B4-BE49-F238E27FC236}">
              <a16:creationId xmlns:a16="http://schemas.microsoft.com/office/drawing/2014/main" id="{2C23C64F-92A8-4EF7-B70C-06FEC93C60F2}"/>
            </a:ext>
            <a:ext uri="{147F2762-F138-4A5C-976F-8EAC2B608ADB}">
              <a16:predDERef xmlns:a16="http://schemas.microsoft.com/office/drawing/2014/main" pred="{E00DABD2-F84E-42B4-ACE0-D222DC116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172" name="Imagen 1">
          <a:extLst>
            <a:ext uri="{FF2B5EF4-FFF2-40B4-BE49-F238E27FC236}">
              <a16:creationId xmlns:a16="http://schemas.microsoft.com/office/drawing/2014/main" id="{7514BFA8-CC18-4B28-98F5-145A12B1D70E}"/>
            </a:ext>
            <a:ext uri="{147F2762-F138-4A5C-976F-8EAC2B608ADB}">
              <a16:predDERef xmlns:a16="http://schemas.microsoft.com/office/drawing/2014/main" pred="{2C23C64F-92A8-4EF7-B70C-06FEC93C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173" name="Imagen 1">
          <a:extLst>
            <a:ext uri="{FF2B5EF4-FFF2-40B4-BE49-F238E27FC236}">
              <a16:creationId xmlns:a16="http://schemas.microsoft.com/office/drawing/2014/main" id="{86F8B89A-79D9-4079-87C4-E83C57BC486B}"/>
            </a:ext>
            <a:ext uri="{147F2762-F138-4A5C-976F-8EAC2B608ADB}">
              <a16:predDERef xmlns:a16="http://schemas.microsoft.com/office/drawing/2014/main" pred="{7514BFA8-CC18-4B28-98F5-145A12B1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174" name="Imagen 1">
          <a:extLst>
            <a:ext uri="{FF2B5EF4-FFF2-40B4-BE49-F238E27FC236}">
              <a16:creationId xmlns:a16="http://schemas.microsoft.com/office/drawing/2014/main" id="{4EA377ED-C3EC-4A90-B94F-2A8BAF2E11F9}"/>
            </a:ext>
            <a:ext uri="{147F2762-F138-4A5C-976F-8EAC2B608ADB}">
              <a16:predDERef xmlns:a16="http://schemas.microsoft.com/office/drawing/2014/main" pred="{86F8B89A-79D9-4079-87C4-E83C57BC4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175" name="Imagen 1">
          <a:extLst>
            <a:ext uri="{FF2B5EF4-FFF2-40B4-BE49-F238E27FC236}">
              <a16:creationId xmlns:a16="http://schemas.microsoft.com/office/drawing/2014/main" id="{EABD080E-D4BA-40CC-BF1E-80E422D48008}"/>
            </a:ext>
            <a:ext uri="{147F2762-F138-4A5C-976F-8EAC2B608ADB}">
              <a16:predDERef xmlns:a16="http://schemas.microsoft.com/office/drawing/2014/main" pred="{4EA377ED-C3EC-4A90-B94F-2A8BAF2E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133350</xdr:colOff>
      <xdr:row>18</xdr:row>
      <xdr:rowOff>38100</xdr:rowOff>
    </xdr:to>
    <xdr:pic>
      <xdr:nvPicPr>
        <xdr:cNvPr id="176" name="Imagen 1">
          <a:extLst>
            <a:ext uri="{FF2B5EF4-FFF2-40B4-BE49-F238E27FC236}">
              <a16:creationId xmlns:a16="http://schemas.microsoft.com/office/drawing/2014/main" id="{9ED85B7F-BE58-4AAA-842B-506106F7B5E5}"/>
            </a:ext>
            <a:ext uri="{147F2762-F138-4A5C-976F-8EAC2B608ADB}">
              <a16:predDERef xmlns:a16="http://schemas.microsoft.com/office/drawing/2014/main" pred="{EABD080E-D4BA-40CC-BF1E-80E422D4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177" name="Imagen 1">
          <a:extLst>
            <a:ext uri="{FF2B5EF4-FFF2-40B4-BE49-F238E27FC236}">
              <a16:creationId xmlns:a16="http://schemas.microsoft.com/office/drawing/2014/main" id="{26F99665-571C-4A8E-98EB-BEB422652B75}"/>
            </a:ext>
            <a:ext uri="{147F2762-F138-4A5C-976F-8EAC2B608ADB}">
              <a16:predDERef xmlns:a16="http://schemas.microsoft.com/office/drawing/2014/main" pred="{9ED85B7F-BE58-4AAA-842B-506106F7B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178" name="Imagen 1">
          <a:extLst>
            <a:ext uri="{FF2B5EF4-FFF2-40B4-BE49-F238E27FC236}">
              <a16:creationId xmlns:a16="http://schemas.microsoft.com/office/drawing/2014/main" id="{D6EE2D46-796E-4E93-B3C3-1F626441F95B}"/>
            </a:ext>
            <a:ext uri="{147F2762-F138-4A5C-976F-8EAC2B608ADB}">
              <a16:predDERef xmlns:a16="http://schemas.microsoft.com/office/drawing/2014/main" pred="{26F99665-571C-4A8E-98EB-BEB42265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179" name="Imagen 1">
          <a:extLst>
            <a:ext uri="{FF2B5EF4-FFF2-40B4-BE49-F238E27FC236}">
              <a16:creationId xmlns:a16="http://schemas.microsoft.com/office/drawing/2014/main" id="{74A4764D-7D78-4C31-B3A8-008C32DEB136}"/>
            </a:ext>
            <a:ext uri="{147F2762-F138-4A5C-976F-8EAC2B608ADB}">
              <a16:predDERef xmlns:a16="http://schemas.microsoft.com/office/drawing/2014/main" pred="{D6EE2D46-796E-4E93-B3C3-1F626441F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180" name="Imagen 1">
          <a:extLst>
            <a:ext uri="{FF2B5EF4-FFF2-40B4-BE49-F238E27FC236}">
              <a16:creationId xmlns:a16="http://schemas.microsoft.com/office/drawing/2014/main" id="{51B206E6-279B-4F7C-B155-46FA8BC3509E}"/>
            </a:ext>
            <a:ext uri="{147F2762-F138-4A5C-976F-8EAC2B608ADB}">
              <a16:predDERef xmlns:a16="http://schemas.microsoft.com/office/drawing/2014/main" pred="{74A4764D-7D78-4C31-B3A8-008C32DE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133350</xdr:colOff>
      <xdr:row>19</xdr:row>
      <xdr:rowOff>38100</xdr:rowOff>
    </xdr:to>
    <xdr:pic>
      <xdr:nvPicPr>
        <xdr:cNvPr id="181" name="Imagen 1">
          <a:extLst>
            <a:ext uri="{FF2B5EF4-FFF2-40B4-BE49-F238E27FC236}">
              <a16:creationId xmlns:a16="http://schemas.microsoft.com/office/drawing/2014/main" id="{090DF2B4-A5E3-40C5-9D25-BBE6E774D90D}"/>
            </a:ext>
            <a:ext uri="{147F2762-F138-4A5C-976F-8EAC2B608ADB}">
              <a16:predDERef xmlns:a16="http://schemas.microsoft.com/office/drawing/2014/main" pred="{51B206E6-279B-4F7C-B155-46FA8BC35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182" name="Imagen 1">
          <a:extLst>
            <a:ext uri="{FF2B5EF4-FFF2-40B4-BE49-F238E27FC236}">
              <a16:creationId xmlns:a16="http://schemas.microsoft.com/office/drawing/2014/main" id="{30EED0B2-4D1D-440F-98E1-74630413B56C}"/>
            </a:ext>
            <a:ext uri="{147F2762-F138-4A5C-976F-8EAC2B608ADB}">
              <a16:predDERef xmlns:a16="http://schemas.microsoft.com/office/drawing/2014/main" pred="{090DF2B4-A5E3-40C5-9D25-BBE6E774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183" name="Imagen 1">
          <a:extLst>
            <a:ext uri="{FF2B5EF4-FFF2-40B4-BE49-F238E27FC236}">
              <a16:creationId xmlns:a16="http://schemas.microsoft.com/office/drawing/2014/main" id="{044831FE-B1F2-48E5-817D-317462F87EEC}"/>
            </a:ext>
            <a:ext uri="{147F2762-F138-4A5C-976F-8EAC2B608ADB}">
              <a16:predDERef xmlns:a16="http://schemas.microsoft.com/office/drawing/2014/main" pred="{30EED0B2-4D1D-440F-98E1-74630413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184" name="Imagen 1">
          <a:extLst>
            <a:ext uri="{FF2B5EF4-FFF2-40B4-BE49-F238E27FC236}">
              <a16:creationId xmlns:a16="http://schemas.microsoft.com/office/drawing/2014/main" id="{C41F0CB2-8958-4669-AAD0-11298C369754}"/>
            </a:ext>
            <a:ext uri="{147F2762-F138-4A5C-976F-8EAC2B608ADB}">
              <a16:predDERef xmlns:a16="http://schemas.microsoft.com/office/drawing/2014/main" pred="{044831FE-B1F2-48E5-817D-317462F87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185" name="Imagen 1">
          <a:extLst>
            <a:ext uri="{FF2B5EF4-FFF2-40B4-BE49-F238E27FC236}">
              <a16:creationId xmlns:a16="http://schemas.microsoft.com/office/drawing/2014/main" id="{5497EB6B-9ABF-46CB-8D33-6AD673C8D52E}"/>
            </a:ext>
            <a:ext uri="{147F2762-F138-4A5C-976F-8EAC2B608ADB}">
              <a16:predDERef xmlns:a16="http://schemas.microsoft.com/office/drawing/2014/main" pred="{C41F0CB2-8958-4669-AAD0-11298C36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133350</xdr:colOff>
      <xdr:row>20</xdr:row>
      <xdr:rowOff>38100</xdr:rowOff>
    </xdr:to>
    <xdr:pic>
      <xdr:nvPicPr>
        <xdr:cNvPr id="186" name="Imagen 1">
          <a:extLst>
            <a:ext uri="{FF2B5EF4-FFF2-40B4-BE49-F238E27FC236}">
              <a16:creationId xmlns:a16="http://schemas.microsoft.com/office/drawing/2014/main" id="{8225FA57-E9F8-4889-8CC0-C6E37C48D9CC}"/>
            </a:ext>
            <a:ext uri="{147F2762-F138-4A5C-976F-8EAC2B608ADB}">
              <a16:predDERef xmlns:a16="http://schemas.microsoft.com/office/drawing/2014/main" pred="{5497EB6B-9ABF-46CB-8D33-6AD673C8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187" name="Imagen 1">
          <a:extLst>
            <a:ext uri="{FF2B5EF4-FFF2-40B4-BE49-F238E27FC236}">
              <a16:creationId xmlns:a16="http://schemas.microsoft.com/office/drawing/2014/main" id="{FFCD1D2A-724C-4CCD-B697-0676BA286DD5}"/>
            </a:ext>
            <a:ext uri="{147F2762-F138-4A5C-976F-8EAC2B608ADB}">
              <a16:predDERef xmlns:a16="http://schemas.microsoft.com/office/drawing/2014/main" pred="{8225FA57-E9F8-4889-8CC0-C6E37C48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188" name="Imagen 1">
          <a:extLst>
            <a:ext uri="{FF2B5EF4-FFF2-40B4-BE49-F238E27FC236}">
              <a16:creationId xmlns:a16="http://schemas.microsoft.com/office/drawing/2014/main" id="{B281B32A-DD09-4DB4-863D-75EC4FB3122A}"/>
            </a:ext>
            <a:ext uri="{147F2762-F138-4A5C-976F-8EAC2B608ADB}">
              <a16:predDERef xmlns:a16="http://schemas.microsoft.com/office/drawing/2014/main" pred="{FFCD1D2A-724C-4CCD-B697-0676BA28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189" name="Imagen 1">
          <a:extLst>
            <a:ext uri="{FF2B5EF4-FFF2-40B4-BE49-F238E27FC236}">
              <a16:creationId xmlns:a16="http://schemas.microsoft.com/office/drawing/2014/main" id="{00D27E1A-C378-4330-BC5F-7FC97DF25BA5}"/>
            </a:ext>
            <a:ext uri="{147F2762-F138-4A5C-976F-8EAC2B608ADB}">
              <a16:predDERef xmlns:a16="http://schemas.microsoft.com/office/drawing/2014/main" pred="{B281B32A-DD09-4DB4-863D-75EC4FB31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190" name="Imagen 1">
          <a:extLst>
            <a:ext uri="{FF2B5EF4-FFF2-40B4-BE49-F238E27FC236}">
              <a16:creationId xmlns:a16="http://schemas.microsoft.com/office/drawing/2014/main" id="{D50A5842-822C-490A-93F1-E5654710A065}"/>
            </a:ext>
            <a:ext uri="{147F2762-F138-4A5C-976F-8EAC2B608ADB}">
              <a16:predDERef xmlns:a16="http://schemas.microsoft.com/office/drawing/2014/main" pred="{00D27E1A-C378-4330-BC5F-7FC97DF2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133350</xdr:colOff>
      <xdr:row>21</xdr:row>
      <xdr:rowOff>38100</xdr:rowOff>
    </xdr:to>
    <xdr:pic>
      <xdr:nvPicPr>
        <xdr:cNvPr id="191" name="Imagen 1">
          <a:extLst>
            <a:ext uri="{FF2B5EF4-FFF2-40B4-BE49-F238E27FC236}">
              <a16:creationId xmlns:a16="http://schemas.microsoft.com/office/drawing/2014/main" id="{DAA5AAB7-13DD-4B4A-8092-C54E80405E67}"/>
            </a:ext>
            <a:ext uri="{147F2762-F138-4A5C-976F-8EAC2B608ADB}">
              <a16:predDERef xmlns:a16="http://schemas.microsoft.com/office/drawing/2014/main" pred="{D50A5842-822C-490A-93F1-E5654710A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192" name="Imagen 1">
          <a:extLst>
            <a:ext uri="{FF2B5EF4-FFF2-40B4-BE49-F238E27FC236}">
              <a16:creationId xmlns:a16="http://schemas.microsoft.com/office/drawing/2014/main" id="{7766D73D-F6CB-4CB3-82F8-FE834FBCB2D1}"/>
            </a:ext>
            <a:ext uri="{147F2762-F138-4A5C-976F-8EAC2B608ADB}">
              <a16:predDERef xmlns:a16="http://schemas.microsoft.com/office/drawing/2014/main" pred="{DAA5AAB7-13DD-4B4A-8092-C54E8040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193" name="Imagen 1">
          <a:extLst>
            <a:ext uri="{FF2B5EF4-FFF2-40B4-BE49-F238E27FC236}">
              <a16:creationId xmlns:a16="http://schemas.microsoft.com/office/drawing/2014/main" id="{9BF3124E-8E11-4277-9C60-FF6589FA327B}"/>
            </a:ext>
            <a:ext uri="{147F2762-F138-4A5C-976F-8EAC2B608ADB}">
              <a16:predDERef xmlns:a16="http://schemas.microsoft.com/office/drawing/2014/main" pred="{7766D73D-F6CB-4CB3-82F8-FE834FBC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194" name="Imagen 1">
          <a:extLst>
            <a:ext uri="{FF2B5EF4-FFF2-40B4-BE49-F238E27FC236}">
              <a16:creationId xmlns:a16="http://schemas.microsoft.com/office/drawing/2014/main" id="{F27765BF-C045-487A-B346-457D158D3B24}"/>
            </a:ext>
            <a:ext uri="{147F2762-F138-4A5C-976F-8EAC2B608ADB}">
              <a16:predDERef xmlns:a16="http://schemas.microsoft.com/office/drawing/2014/main" pred="{9BF3124E-8E11-4277-9C60-FF6589FA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195" name="Imagen 1">
          <a:extLst>
            <a:ext uri="{FF2B5EF4-FFF2-40B4-BE49-F238E27FC236}">
              <a16:creationId xmlns:a16="http://schemas.microsoft.com/office/drawing/2014/main" id="{B75104E9-8694-4D90-B5A7-917EE264DC16}"/>
            </a:ext>
            <a:ext uri="{147F2762-F138-4A5C-976F-8EAC2B608ADB}">
              <a16:predDERef xmlns:a16="http://schemas.microsoft.com/office/drawing/2014/main" pred="{F27765BF-C045-487A-B346-457D158D3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133350</xdr:colOff>
      <xdr:row>22</xdr:row>
      <xdr:rowOff>38100</xdr:rowOff>
    </xdr:to>
    <xdr:pic>
      <xdr:nvPicPr>
        <xdr:cNvPr id="196" name="Imagen 1">
          <a:extLst>
            <a:ext uri="{FF2B5EF4-FFF2-40B4-BE49-F238E27FC236}">
              <a16:creationId xmlns:a16="http://schemas.microsoft.com/office/drawing/2014/main" id="{E042F844-CB45-4DA9-B72B-0E8ED96FFDDA}"/>
            </a:ext>
            <a:ext uri="{147F2762-F138-4A5C-976F-8EAC2B608ADB}">
              <a16:predDERef xmlns:a16="http://schemas.microsoft.com/office/drawing/2014/main" pred="{B75104E9-8694-4D90-B5A7-917EE264D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197" name="Imagen 1">
          <a:extLst>
            <a:ext uri="{FF2B5EF4-FFF2-40B4-BE49-F238E27FC236}">
              <a16:creationId xmlns:a16="http://schemas.microsoft.com/office/drawing/2014/main" id="{D14DACE8-0DF9-4F9D-B5FE-16716E4DBCD2}"/>
            </a:ext>
            <a:ext uri="{147F2762-F138-4A5C-976F-8EAC2B608ADB}">
              <a16:predDERef xmlns:a16="http://schemas.microsoft.com/office/drawing/2014/main" pred="{E042F844-CB45-4DA9-B72B-0E8ED96FF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198" name="Imagen 1">
          <a:extLst>
            <a:ext uri="{FF2B5EF4-FFF2-40B4-BE49-F238E27FC236}">
              <a16:creationId xmlns:a16="http://schemas.microsoft.com/office/drawing/2014/main" id="{2F1EAD6E-1156-4431-A61D-6C29221AF6CD}"/>
            </a:ext>
            <a:ext uri="{147F2762-F138-4A5C-976F-8EAC2B608ADB}">
              <a16:predDERef xmlns:a16="http://schemas.microsoft.com/office/drawing/2014/main" pred="{D14DACE8-0DF9-4F9D-B5FE-16716E4D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199" name="Imagen 1">
          <a:extLst>
            <a:ext uri="{FF2B5EF4-FFF2-40B4-BE49-F238E27FC236}">
              <a16:creationId xmlns:a16="http://schemas.microsoft.com/office/drawing/2014/main" id="{0057FA76-A25B-417E-8D77-C38D7B15A317}"/>
            </a:ext>
            <a:ext uri="{147F2762-F138-4A5C-976F-8EAC2B608ADB}">
              <a16:predDERef xmlns:a16="http://schemas.microsoft.com/office/drawing/2014/main" pred="{2F1EAD6E-1156-4431-A61D-6C29221A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200" name="Imagen 1">
          <a:extLst>
            <a:ext uri="{FF2B5EF4-FFF2-40B4-BE49-F238E27FC236}">
              <a16:creationId xmlns:a16="http://schemas.microsoft.com/office/drawing/2014/main" id="{02B29937-FD9B-46B8-85AC-0868078CF422}"/>
            </a:ext>
            <a:ext uri="{147F2762-F138-4A5C-976F-8EAC2B608ADB}">
              <a16:predDERef xmlns:a16="http://schemas.microsoft.com/office/drawing/2014/main" pred="{0057FA76-A25B-417E-8D77-C38D7B15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133350</xdr:colOff>
      <xdr:row>23</xdr:row>
      <xdr:rowOff>28575</xdr:rowOff>
    </xdr:to>
    <xdr:pic>
      <xdr:nvPicPr>
        <xdr:cNvPr id="201" name="Imagen 1">
          <a:extLst>
            <a:ext uri="{FF2B5EF4-FFF2-40B4-BE49-F238E27FC236}">
              <a16:creationId xmlns:a16="http://schemas.microsoft.com/office/drawing/2014/main" id="{658844E0-B9EF-46B8-A35C-1E6F7FF3A04E}"/>
            </a:ext>
            <a:ext uri="{147F2762-F138-4A5C-976F-8EAC2B608ADB}">
              <a16:predDERef xmlns:a16="http://schemas.microsoft.com/office/drawing/2014/main" pred="{02B29937-FD9B-46B8-85AC-0868078CF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202" name="Imagen 1">
          <a:extLst>
            <a:ext uri="{FF2B5EF4-FFF2-40B4-BE49-F238E27FC236}">
              <a16:creationId xmlns:a16="http://schemas.microsoft.com/office/drawing/2014/main" id="{5D9AA4D7-2E0F-455E-A3B3-664E0897AA9D}"/>
            </a:ext>
            <a:ext uri="{147F2762-F138-4A5C-976F-8EAC2B608ADB}">
              <a16:predDERef xmlns:a16="http://schemas.microsoft.com/office/drawing/2014/main" pred="{658844E0-B9EF-46B8-A35C-1E6F7FF3A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203" name="Imagen 1">
          <a:extLst>
            <a:ext uri="{FF2B5EF4-FFF2-40B4-BE49-F238E27FC236}">
              <a16:creationId xmlns:a16="http://schemas.microsoft.com/office/drawing/2014/main" id="{232931D4-BAE0-40E0-B492-38A54990D212}"/>
            </a:ext>
            <a:ext uri="{147F2762-F138-4A5C-976F-8EAC2B608ADB}">
              <a16:predDERef xmlns:a16="http://schemas.microsoft.com/office/drawing/2014/main" pred="{5D9AA4D7-2E0F-455E-A3B3-664E0897A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204" name="Imagen 1">
          <a:extLst>
            <a:ext uri="{FF2B5EF4-FFF2-40B4-BE49-F238E27FC236}">
              <a16:creationId xmlns:a16="http://schemas.microsoft.com/office/drawing/2014/main" id="{C532D35B-7C45-4168-A3FF-85B8058577A5}"/>
            </a:ext>
            <a:ext uri="{147F2762-F138-4A5C-976F-8EAC2B608ADB}">
              <a16:predDERef xmlns:a16="http://schemas.microsoft.com/office/drawing/2014/main" pred="{232931D4-BAE0-40E0-B492-38A54990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205" name="Imagen 1">
          <a:extLst>
            <a:ext uri="{FF2B5EF4-FFF2-40B4-BE49-F238E27FC236}">
              <a16:creationId xmlns:a16="http://schemas.microsoft.com/office/drawing/2014/main" id="{B063BEF8-9F86-4C39-AC2C-67B24734C14E}"/>
            </a:ext>
            <a:ext uri="{147F2762-F138-4A5C-976F-8EAC2B608ADB}">
              <a16:predDERef xmlns:a16="http://schemas.microsoft.com/office/drawing/2014/main" pred="{C532D35B-7C45-4168-A3FF-85B80585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133350</xdr:colOff>
      <xdr:row>24</xdr:row>
      <xdr:rowOff>28575</xdr:rowOff>
    </xdr:to>
    <xdr:pic>
      <xdr:nvPicPr>
        <xdr:cNvPr id="206" name="Imagen 1">
          <a:extLst>
            <a:ext uri="{FF2B5EF4-FFF2-40B4-BE49-F238E27FC236}">
              <a16:creationId xmlns:a16="http://schemas.microsoft.com/office/drawing/2014/main" id="{CA49F555-FD9D-406B-B3B1-36066D7467E5}"/>
            </a:ext>
            <a:ext uri="{147F2762-F138-4A5C-976F-8EAC2B608ADB}">
              <a16:predDERef xmlns:a16="http://schemas.microsoft.com/office/drawing/2014/main" pred="{B063BEF8-9F86-4C39-AC2C-67B24734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207" name="Imagen 1">
          <a:extLst>
            <a:ext uri="{FF2B5EF4-FFF2-40B4-BE49-F238E27FC236}">
              <a16:creationId xmlns:a16="http://schemas.microsoft.com/office/drawing/2014/main" id="{88DFE122-1810-45CC-8C2D-261B4D7B179F}"/>
            </a:ext>
            <a:ext uri="{147F2762-F138-4A5C-976F-8EAC2B608ADB}">
              <a16:predDERef xmlns:a16="http://schemas.microsoft.com/office/drawing/2014/main" pred="{CA49F555-FD9D-406B-B3B1-36066D74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208" name="Imagen 1">
          <a:extLst>
            <a:ext uri="{FF2B5EF4-FFF2-40B4-BE49-F238E27FC236}">
              <a16:creationId xmlns:a16="http://schemas.microsoft.com/office/drawing/2014/main" id="{AF7B564C-A799-4C44-814F-E2DB5442BDF5}"/>
            </a:ext>
            <a:ext uri="{147F2762-F138-4A5C-976F-8EAC2B608ADB}">
              <a16:predDERef xmlns:a16="http://schemas.microsoft.com/office/drawing/2014/main" pred="{88DFE122-1810-45CC-8C2D-261B4D7B1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209" name="Imagen 1">
          <a:extLst>
            <a:ext uri="{FF2B5EF4-FFF2-40B4-BE49-F238E27FC236}">
              <a16:creationId xmlns:a16="http://schemas.microsoft.com/office/drawing/2014/main" id="{24AECDED-BCF5-4AEF-8848-712FD2C408BB}"/>
            </a:ext>
            <a:ext uri="{147F2762-F138-4A5C-976F-8EAC2B608ADB}">
              <a16:predDERef xmlns:a16="http://schemas.microsoft.com/office/drawing/2014/main" pred="{AF7B564C-A799-4C44-814F-E2DB5442B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210" name="Imagen 1">
          <a:extLst>
            <a:ext uri="{FF2B5EF4-FFF2-40B4-BE49-F238E27FC236}">
              <a16:creationId xmlns:a16="http://schemas.microsoft.com/office/drawing/2014/main" id="{1E96AB8F-1CCD-46D0-81B6-FFB5CB8E9EE4}"/>
            </a:ext>
            <a:ext uri="{147F2762-F138-4A5C-976F-8EAC2B608ADB}">
              <a16:predDERef xmlns:a16="http://schemas.microsoft.com/office/drawing/2014/main" pred="{24AECDED-BCF5-4AEF-8848-712FD2C4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133350</xdr:colOff>
      <xdr:row>25</xdr:row>
      <xdr:rowOff>28575</xdr:rowOff>
    </xdr:to>
    <xdr:pic>
      <xdr:nvPicPr>
        <xdr:cNvPr id="211" name="Imagen 1">
          <a:extLst>
            <a:ext uri="{FF2B5EF4-FFF2-40B4-BE49-F238E27FC236}">
              <a16:creationId xmlns:a16="http://schemas.microsoft.com/office/drawing/2014/main" id="{5DBD3883-1245-4885-BFF6-8F8733E74A63}"/>
            </a:ext>
            <a:ext uri="{147F2762-F138-4A5C-976F-8EAC2B608ADB}">
              <a16:predDERef xmlns:a16="http://schemas.microsoft.com/office/drawing/2014/main" pred="{1E96AB8F-1CCD-46D0-81B6-FFB5CB8E9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212" name="Imagen 1">
          <a:extLst>
            <a:ext uri="{FF2B5EF4-FFF2-40B4-BE49-F238E27FC236}">
              <a16:creationId xmlns:a16="http://schemas.microsoft.com/office/drawing/2014/main" id="{1B2A50E5-4630-4D28-8069-36699AEC0CD8}"/>
            </a:ext>
            <a:ext uri="{147F2762-F138-4A5C-976F-8EAC2B608ADB}">
              <a16:predDERef xmlns:a16="http://schemas.microsoft.com/office/drawing/2014/main" pred="{5DBD3883-1245-4885-BFF6-8F8733E7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213" name="Imagen 1">
          <a:extLst>
            <a:ext uri="{FF2B5EF4-FFF2-40B4-BE49-F238E27FC236}">
              <a16:creationId xmlns:a16="http://schemas.microsoft.com/office/drawing/2014/main" id="{3F820553-A7B7-4EE9-B02A-F3E679714753}"/>
            </a:ext>
            <a:ext uri="{147F2762-F138-4A5C-976F-8EAC2B608ADB}">
              <a16:predDERef xmlns:a16="http://schemas.microsoft.com/office/drawing/2014/main" pred="{1B2A50E5-4630-4D28-8069-36699AEC0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214" name="Imagen 1">
          <a:extLst>
            <a:ext uri="{FF2B5EF4-FFF2-40B4-BE49-F238E27FC236}">
              <a16:creationId xmlns:a16="http://schemas.microsoft.com/office/drawing/2014/main" id="{D0117FA0-C6F6-4602-8D40-AAED421AEB46}"/>
            </a:ext>
            <a:ext uri="{147F2762-F138-4A5C-976F-8EAC2B608ADB}">
              <a16:predDERef xmlns:a16="http://schemas.microsoft.com/office/drawing/2014/main" pred="{3F820553-A7B7-4EE9-B02A-F3E67971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215" name="Imagen 1">
          <a:extLst>
            <a:ext uri="{FF2B5EF4-FFF2-40B4-BE49-F238E27FC236}">
              <a16:creationId xmlns:a16="http://schemas.microsoft.com/office/drawing/2014/main" id="{378988E0-2E65-4A27-96EF-C24EE260D06E}"/>
            </a:ext>
            <a:ext uri="{147F2762-F138-4A5C-976F-8EAC2B608ADB}">
              <a16:predDERef xmlns:a16="http://schemas.microsoft.com/office/drawing/2014/main" pred="{D0117FA0-C6F6-4602-8D40-AAED421A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133350</xdr:colOff>
      <xdr:row>30</xdr:row>
      <xdr:rowOff>28575</xdr:rowOff>
    </xdr:to>
    <xdr:pic>
      <xdr:nvPicPr>
        <xdr:cNvPr id="216" name="Imagen 1">
          <a:extLst>
            <a:ext uri="{FF2B5EF4-FFF2-40B4-BE49-F238E27FC236}">
              <a16:creationId xmlns:a16="http://schemas.microsoft.com/office/drawing/2014/main" id="{3908C251-4868-493A-8052-46503A909BBF}"/>
            </a:ext>
            <a:ext uri="{147F2762-F138-4A5C-976F-8EAC2B608ADB}">
              <a16:predDERef xmlns:a16="http://schemas.microsoft.com/office/drawing/2014/main" pred="{378988E0-2E65-4A27-96EF-C24EE260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217" name="Imagen 1">
          <a:extLst>
            <a:ext uri="{FF2B5EF4-FFF2-40B4-BE49-F238E27FC236}">
              <a16:creationId xmlns:a16="http://schemas.microsoft.com/office/drawing/2014/main" id="{18C283DE-BC7F-4A1E-998A-EA6BCFD25771}"/>
            </a:ext>
            <a:ext uri="{147F2762-F138-4A5C-976F-8EAC2B608ADB}">
              <a16:predDERef xmlns:a16="http://schemas.microsoft.com/office/drawing/2014/main" pred="{3908C251-4868-493A-8052-46503A909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133350</xdr:colOff>
      <xdr:row>4</xdr:row>
      <xdr:rowOff>38100</xdr:rowOff>
    </xdr:to>
    <xdr:pic>
      <xdr:nvPicPr>
        <xdr:cNvPr id="218" name="Imagen 1">
          <a:extLst>
            <a:ext uri="{FF2B5EF4-FFF2-40B4-BE49-F238E27FC236}">
              <a16:creationId xmlns:a16="http://schemas.microsoft.com/office/drawing/2014/main" id="{8D6D1B59-ACF4-4E33-AD06-B42F2B0D541B}"/>
            </a:ext>
            <a:ext uri="{147F2762-F138-4A5C-976F-8EAC2B608ADB}">
              <a16:predDERef xmlns:a16="http://schemas.microsoft.com/office/drawing/2014/main" pred="{18C283DE-BC7F-4A1E-998A-EA6BCFD25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133350</xdr:colOff>
      <xdr:row>4</xdr:row>
      <xdr:rowOff>38100</xdr:rowOff>
    </xdr:to>
    <xdr:pic>
      <xdr:nvPicPr>
        <xdr:cNvPr id="219" name="Imagen 1">
          <a:extLst>
            <a:ext uri="{FF2B5EF4-FFF2-40B4-BE49-F238E27FC236}">
              <a16:creationId xmlns:a16="http://schemas.microsoft.com/office/drawing/2014/main" id="{30F34F4F-0F09-46E0-8CA5-776AE27B45F0}"/>
            </a:ext>
            <a:ext uri="{147F2762-F138-4A5C-976F-8EAC2B608ADB}">
              <a16:predDERef xmlns:a16="http://schemas.microsoft.com/office/drawing/2014/main" pred="{8D6D1B59-ACF4-4E33-AD06-B42F2B0D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220" name="Imagen 1">
          <a:extLst>
            <a:ext uri="{FF2B5EF4-FFF2-40B4-BE49-F238E27FC236}">
              <a16:creationId xmlns:a16="http://schemas.microsoft.com/office/drawing/2014/main" id="{288AF754-8A08-4074-A80B-623F04FB2204}"/>
            </a:ext>
            <a:ext uri="{147F2762-F138-4A5C-976F-8EAC2B608ADB}">
              <a16:predDERef xmlns:a16="http://schemas.microsoft.com/office/drawing/2014/main" pred="{30F34F4F-0F09-46E0-8CA5-776AE27B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133350</xdr:colOff>
      <xdr:row>4</xdr:row>
      <xdr:rowOff>38100</xdr:rowOff>
    </xdr:to>
    <xdr:pic>
      <xdr:nvPicPr>
        <xdr:cNvPr id="221" name="Imagen 1">
          <a:extLst>
            <a:ext uri="{FF2B5EF4-FFF2-40B4-BE49-F238E27FC236}">
              <a16:creationId xmlns:a16="http://schemas.microsoft.com/office/drawing/2014/main" id="{D8366A18-5EB8-45C3-B172-6F581B8233E6}"/>
            </a:ext>
            <a:ext uri="{147F2762-F138-4A5C-976F-8EAC2B608ADB}">
              <a16:predDERef xmlns:a16="http://schemas.microsoft.com/office/drawing/2014/main" pred="{288AF754-8A08-4074-A80B-623F04FB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133350</xdr:colOff>
      <xdr:row>4</xdr:row>
      <xdr:rowOff>38100</xdr:rowOff>
    </xdr:to>
    <xdr:pic>
      <xdr:nvPicPr>
        <xdr:cNvPr id="222" name="Imagen 1">
          <a:extLst>
            <a:ext uri="{FF2B5EF4-FFF2-40B4-BE49-F238E27FC236}">
              <a16:creationId xmlns:a16="http://schemas.microsoft.com/office/drawing/2014/main" id="{1958D281-7AA3-44FB-AFBB-93CC6CB277FA}"/>
            </a:ext>
            <a:ext uri="{147F2762-F138-4A5C-976F-8EAC2B608ADB}">
              <a16:predDERef xmlns:a16="http://schemas.microsoft.com/office/drawing/2014/main" pred="{D8366A18-5EB8-45C3-B172-6F581B823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133350</xdr:colOff>
      <xdr:row>4</xdr:row>
      <xdr:rowOff>38100</xdr:rowOff>
    </xdr:to>
    <xdr:pic>
      <xdr:nvPicPr>
        <xdr:cNvPr id="223" name="Imagen 1">
          <a:extLst>
            <a:ext uri="{FF2B5EF4-FFF2-40B4-BE49-F238E27FC236}">
              <a16:creationId xmlns:a16="http://schemas.microsoft.com/office/drawing/2014/main" id="{0734CF84-6736-4239-908E-042ED75C6036}"/>
            </a:ext>
            <a:ext uri="{147F2762-F138-4A5C-976F-8EAC2B608ADB}">
              <a16:predDERef xmlns:a16="http://schemas.microsoft.com/office/drawing/2014/main" pred="{1958D281-7AA3-44FB-AFBB-93CC6CB27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133350</xdr:colOff>
      <xdr:row>31</xdr:row>
      <xdr:rowOff>28575</xdr:rowOff>
    </xdr:to>
    <xdr:pic>
      <xdr:nvPicPr>
        <xdr:cNvPr id="224" name="Imagen 1">
          <a:extLst>
            <a:ext uri="{FF2B5EF4-FFF2-40B4-BE49-F238E27FC236}">
              <a16:creationId xmlns:a16="http://schemas.microsoft.com/office/drawing/2014/main" id="{91427D4F-A159-405D-9765-51FA386FC096}"/>
            </a:ext>
            <a:ext uri="{147F2762-F138-4A5C-976F-8EAC2B608ADB}">
              <a16:predDERef xmlns:a16="http://schemas.microsoft.com/office/drawing/2014/main" pred="{0734CF84-6736-4239-908E-042ED75C6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225" name="Imagen 1">
          <a:extLst>
            <a:ext uri="{FF2B5EF4-FFF2-40B4-BE49-F238E27FC236}">
              <a16:creationId xmlns:a16="http://schemas.microsoft.com/office/drawing/2014/main" id="{CB9EED09-53B6-488A-BE39-E2709047CBA3}"/>
            </a:ext>
            <a:ext uri="{147F2762-F138-4A5C-976F-8EAC2B608ADB}">
              <a16:predDERef xmlns:a16="http://schemas.microsoft.com/office/drawing/2014/main" pred="{91427D4F-A159-405D-9765-51FA386F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133350</xdr:colOff>
      <xdr:row>5</xdr:row>
      <xdr:rowOff>38100</xdr:rowOff>
    </xdr:to>
    <xdr:pic>
      <xdr:nvPicPr>
        <xdr:cNvPr id="226" name="Imagen 1">
          <a:extLst>
            <a:ext uri="{FF2B5EF4-FFF2-40B4-BE49-F238E27FC236}">
              <a16:creationId xmlns:a16="http://schemas.microsoft.com/office/drawing/2014/main" id="{8EC431C5-9544-47EF-8DE0-CB9BAE7AD975}"/>
            </a:ext>
            <a:ext uri="{147F2762-F138-4A5C-976F-8EAC2B608ADB}">
              <a16:predDERef xmlns:a16="http://schemas.microsoft.com/office/drawing/2014/main" pred="{CB9EED09-53B6-488A-BE39-E2709047C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133350</xdr:colOff>
      <xdr:row>5</xdr:row>
      <xdr:rowOff>38100</xdr:rowOff>
    </xdr:to>
    <xdr:pic>
      <xdr:nvPicPr>
        <xdr:cNvPr id="227" name="Imagen 1">
          <a:extLst>
            <a:ext uri="{FF2B5EF4-FFF2-40B4-BE49-F238E27FC236}">
              <a16:creationId xmlns:a16="http://schemas.microsoft.com/office/drawing/2014/main" id="{0711DFD3-632A-470F-8414-DDD7BD391A4A}"/>
            </a:ext>
            <a:ext uri="{147F2762-F138-4A5C-976F-8EAC2B608ADB}">
              <a16:predDERef xmlns:a16="http://schemas.microsoft.com/office/drawing/2014/main" pred="{8EC431C5-9544-47EF-8DE0-CB9BAE7AD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228" name="Imagen 1">
          <a:extLst>
            <a:ext uri="{FF2B5EF4-FFF2-40B4-BE49-F238E27FC236}">
              <a16:creationId xmlns:a16="http://schemas.microsoft.com/office/drawing/2014/main" id="{AFBE94B9-B1DF-47AD-BD8E-6674739576AE}"/>
            </a:ext>
            <a:ext uri="{147F2762-F138-4A5C-976F-8EAC2B608ADB}">
              <a16:predDERef xmlns:a16="http://schemas.microsoft.com/office/drawing/2014/main" pred="{0711DFD3-632A-470F-8414-DDD7BD39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133350</xdr:colOff>
      <xdr:row>5</xdr:row>
      <xdr:rowOff>38100</xdr:rowOff>
    </xdr:to>
    <xdr:pic>
      <xdr:nvPicPr>
        <xdr:cNvPr id="229" name="Imagen 1">
          <a:extLst>
            <a:ext uri="{FF2B5EF4-FFF2-40B4-BE49-F238E27FC236}">
              <a16:creationId xmlns:a16="http://schemas.microsoft.com/office/drawing/2014/main" id="{F670B00A-6DED-4103-8578-7932259933AA}"/>
            </a:ext>
            <a:ext uri="{147F2762-F138-4A5C-976F-8EAC2B608ADB}">
              <a16:predDERef xmlns:a16="http://schemas.microsoft.com/office/drawing/2014/main" pred="{AFBE94B9-B1DF-47AD-BD8E-667473957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133350</xdr:colOff>
      <xdr:row>5</xdr:row>
      <xdr:rowOff>38100</xdr:rowOff>
    </xdr:to>
    <xdr:pic>
      <xdr:nvPicPr>
        <xdr:cNvPr id="230" name="Imagen 1">
          <a:extLst>
            <a:ext uri="{FF2B5EF4-FFF2-40B4-BE49-F238E27FC236}">
              <a16:creationId xmlns:a16="http://schemas.microsoft.com/office/drawing/2014/main" id="{EB1BD2BC-3926-4D52-A642-A870517DCB2F}"/>
            </a:ext>
            <a:ext uri="{147F2762-F138-4A5C-976F-8EAC2B608ADB}">
              <a16:predDERef xmlns:a16="http://schemas.microsoft.com/office/drawing/2014/main" pred="{F670B00A-6DED-4103-8578-79322599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133350</xdr:colOff>
      <xdr:row>5</xdr:row>
      <xdr:rowOff>38100</xdr:rowOff>
    </xdr:to>
    <xdr:pic>
      <xdr:nvPicPr>
        <xdr:cNvPr id="231" name="Imagen 1">
          <a:extLst>
            <a:ext uri="{FF2B5EF4-FFF2-40B4-BE49-F238E27FC236}">
              <a16:creationId xmlns:a16="http://schemas.microsoft.com/office/drawing/2014/main" id="{5F1671F0-5FF5-464A-8EDA-33D1D9C5434C}"/>
            </a:ext>
            <a:ext uri="{147F2762-F138-4A5C-976F-8EAC2B608ADB}">
              <a16:predDERef xmlns:a16="http://schemas.microsoft.com/office/drawing/2014/main" pred="{EB1BD2BC-3926-4D52-A642-A870517D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133350</xdr:colOff>
      <xdr:row>32</xdr:row>
      <xdr:rowOff>28575</xdr:rowOff>
    </xdr:to>
    <xdr:pic>
      <xdr:nvPicPr>
        <xdr:cNvPr id="232" name="Imagen 1">
          <a:extLst>
            <a:ext uri="{FF2B5EF4-FFF2-40B4-BE49-F238E27FC236}">
              <a16:creationId xmlns:a16="http://schemas.microsoft.com/office/drawing/2014/main" id="{BADD406D-7C7D-40E0-A918-079E1FEDE416}"/>
            </a:ext>
            <a:ext uri="{147F2762-F138-4A5C-976F-8EAC2B608ADB}">
              <a16:predDERef xmlns:a16="http://schemas.microsoft.com/office/drawing/2014/main" pred="{5F1671F0-5FF5-464A-8EDA-33D1D9C5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233" name="Imagen 1">
          <a:extLst>
            <a:ext uri="{FF2B5EF4-FFF2-40B4-BE49-F238E27FC236}">
              <a16:creationId xmlns:a16="http://schemas.microsoft.com/office/drawing/2014/main" id="{2E37F7F9-9E14-4AFD-9653-2CB18D94C714}"/>
            </a:ext>
            <a:ext uri="{147F2762-F138-4A5C-976F-8EAC2B608ADB}">
              <a16:predDERef xmlns:a16="http://schemas.microsoft.com/office/drawing/2014/main" pred="{BADD406D-7C7D-40E0-A918-079E1FED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133350</xdr:colOff>
      <xdr:row>6</xdr:row>
      <xdr:rowOff>38100</xdr:rowOff>
    </xdr:to>
    <xdr:pic>
      <xdr:nvPicPr>
        <xdr:cNvPr id="234" name="Imagen 1">
          <a:extLst>
            <a:ext uri="{FF2B5EF4-FFF2-40B4-BE49-F238E27FC236}">
              <a16:creationId xmlns:a16="http://schemas.microsoft.com/office/drawing/2014/main" id="{C7FE023C-93B2-4A16-BD37-FCC125F5557B}"/>
            </a:ext>
            <a:ext uri="{147F2762-F138-4A5C-976F-8EAC2B608ADB}">
              <a16:predDERef xmlns:a16="http://schemas.microsoft.com/office/drawing/2014/main" pred="{2E37F7F9-9E14-4AFD-9653-2CB18D94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133350</xdr:colOff>
      <xdr:row>6</xdr:row>
      <xdr:rowOff>38100</xdr:rowOff>
    </xdr:to>
    <xdr:pic>
      <xdr:nvPicPr>
        <xdr:cNvPr id="235" name="Imagen 1">
          <a:extLst>
            <a:ext uri="{FF2B5EF4-FFF2-40B4-BE49-F238E27FC236}">
              <a16:creationId xmlns:a16="http://schemas.microsoft.com/office/drawing/2014/main" id="{0ED34DF7-0C7A-4106-9910-FEC5130031FA}"/>
            </a:ext>
            <a:ext uri="{147F2762-F138-4A5C-976F-8EAC2B608ADB}">
              <a16:predDERef xmlns:a16="http://schemas.microsoft.com/office/drawing/2014/main" pred="{C7FE023C-93B2-4A16-BD37-FCC125F55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236" name="Imagen 1">
          <a:extLst>
            <a:ext uri="{FF2B5EF4-FFF2-40B4-BE49-F238E27FC236}">
              <a16:creationId xmlns:a16="http://schemas.microsoft.com/office/drawing/2014/main" id="{433CF1E9-52EB-421B-9E15-9937BC369CB5}"/>
            </a:ext>
            <a:ext uri="{147F2762-F138-4A5C-976F-8EAC2B608ADB}">
              <a16:predDERef xmlns:a16="http://schemas.microsoft.com/office/drawing/2014/main" pred="{0ED34DF7-0C7A-4106-9910-FEC513003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133350</xdr:colOff>
      <xdr:row>6</xdr:row>
      <xdr:rowOff>38100</xdr:rowOff>
    </xdr:to>
    <xdr:pic>
      <xdr:nvPicPr>
        <xdr:cNvPr id="237" name="Imagen 1">
          <a:extLst>
            <a:ext uri="{FF2B5EF4-FFF2-40B4-BE49-F238E27FC236}">
              <a16:creationId xmlns:a16="http://schemas.microsoft.com/office/drawing/2014/main" id="{867C71A0-6FE8-4A4E-96F3-23B8C1E929E2}"/>
            </a:ext>
            <a:ext uri="{147F2762-F138-4A5C-976F-8EAC2B608ADB}">
              <a16:predDERef xmlns:a16="http://schemas.microsoft.com/office/drawing/2014/main" pred="{433CF1E9-52EB-421B-9E15-9937BC369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</xdr:colOff>
      <xdr:row>6</xdr:row>
      <xdr:rowOff>38100</xdr:rowOff>
    </xdr:to>
    <xdr:pic>
      <xdr:nvPicPr>
        <xdr:cNvPr id="238" name="Imagen 1">
          <a:extLst>
            <a:ext uri="{FF2B5EF4-FFF2-40B4-BE49-F238E27FC236}">
              <a16:creationId xmlns:a16="http://schemas.microsoft.com/office/drawing/2014/main" id="{F6883BAF-A2B0-4885-8BB6-4D2F035C99A2}"/>
            </a:ext>
            <a:ext uri="{147F2762-F138-4A5C-976F-8EAC2B608ADB}">
              <a16:predDERef xmlns:a16="http://schemas.microsoft.com/office/drawing/2014/main" pred="{867C71A0-6FE8-4A4E-96F3-23B8C1E9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133350</xdr:colOff>
      <xdr:row>6</xdr:row>
      <xdr:rowOff>38100</xdr:rowOff>
    </xdr:to>
    <xdr:pic>
      <xdr:nvPicPr>
        <xdr:cNvPr id="239" name="Imagen 1">
          <a:extLst>
            <a:ext uri="{FF2B5EF4-FFF2-40B4-BE49-F238E27FC236}">
              <a16:creationId xmlns:a16="http://schemas.microsoft.com/office/drawing/2014/main" id="{C8B7A572-22B4-4C01-9340-40D3E86DE124}"/>
            </a:ext>
            <a:ext uri="{147F2762-F138-4A5C-976F-8EAC2B608ADB}">
              <a16:predDERef xmlns:a16="http://schemas.microsoft.com/office/drawing/2014/main" pred="{F6883BAF-A2B0-4885-8BB6-4D2F035C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133350</xdr:colOff>
      <xdr:row>33</xdr:row>
      <xdr:rowOff>28575</xdr:rowOff>
    </xdr:to>
    <xdr:pic>
      <xdr:nvPicPr>
        <xdr:cNvPr id="240" name="Imagen 1">
          <a:extLst>
            <a:ext uri="{FF2B5EF4-FFF2-40B4-BE49-F238E27FC236}">
              <a16:creationId xmlns:a16="http://schemas.microsoft.com/office/drawing/2014/main" id="{F062EC90-9605-4037-98D9-7F0171CEAACE}"/>
            </a:ext>
            <a:ext uri="{147F2762-F138-4A5C-976F-8EAC2B608ADB}">
              <a16:predDERef xmlns:a16="http://schemas.microsoft.com/office/drawing/2014/main" pred="{C8B7A572-22B4-4C01-9340-40D3E86D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241" name="Imagen 1">
          <a:extLst>
            <a:ext uri="{FF2B5EF4-FFF2-40B4-BE49-F238E27FC236}">
              <a16:creationId xmlns:a16="http://schemas.microsoft.com/office/drawing/2014/main" id="{57CDCBD2-D83E-4A29-9733-293D554DACBF}"/>
            </a:ext>
            <a:ext uri="{147F2762-F138-4A5C-976F-8EAC2B608ADB}">
              <a16:predDERef xmlns:a16="http://schemas.microsoft.com/office/drawing/2014/main" pred="{F062EC90-9605-4037-98D9-7F0171CE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133350</xdr:colOff>
      <xdr:row>7</xdr:row>
      <xdr:rowOff>38100</xdr:rowOff>
    </xdr:to>
    <xdr:pic>
      <xdr:nvPicPr>
        <xdr:cNvPr id="242" name="Imagen 1">
          <a:extLst>
            <a:ext uri="{FF2B5EF4-FFF2-40B4-BE49-F238E27FC236}">
              <a16:creationId xmlns:a16="http://schemas.microsoft.com/office/drawing/2014/main" id="{083F27E3-4CE9-4468-8831-4E94622B7C55}"/>
            </a:ext>
            <a:ext uri="{147F2762-F138-4A5C-976F-8EAC2B608ADB}">
              <a16:predDERef xmlns:a16="http://schemas.microsoft.com/office/drawing/2014/main" pred="{57CDCBD2-D83E-4A29-9733-293D554DA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133350</xdr:colOff>
      <xdr:row>7</xdr:row>
      <xdr:rowOff>38100</xdr:rowOff>
    </xdr:to>
    <xdr:pic>
      <xdr:nvPicPr>
        <xdr:cNvPr id="243" name="Imagen 1">
          <a:extLst>
            <a:ext uri="{FF2B5EF4-FFF2-40B4-BE49-F238E27FC236}">
              <a16:creationId xmlns:a16="http://schemas.microsoft.com/office/drawing/2014/main" id="{710654EA-0BE1-4A29-B048-03FD0AF3576E}"/>
            </a:ext>
            <a:ext uri="{147F2762-F138-4A5C-976F-8EAC2B608ADB}">
              <a16:predDERef xmlns:a16="http://schemas.microsoft.com/office/drawing/2014/main" pred="{083F27E3-4CE9-4468-8831-4E94622B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244" name="Imagen 1">
          <a:extLst>
            <a:ext uri="{FF2B5EF4-FFF2-40B4-BE49-F238E27FC236}">
              <a16:creationId xmlns:a16="http://schemas.microsoft.com/office/drawing/2014/main" id="{A5BDC352-BCA8-4866-87AC-F15461AB4CCD}"/>
            </a:ext>
            <a:ext uri="{147F2762-F138-4A5C-976F-8EAC2B608ADB}">
              <a16:predDERef xmlns:a16="http://schemas.microsoft.com/office/drawing/2014/main" pred="{710654EA-0BE1-4A29-B048-03FD0AF3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133350</xdr:colOff>
      <xdr:row>7</xdr:row>
      <xdr:rowOff>38100</xdr:rowOff>
    </xdr:to>
    <xdr:pic>
      <xdr:nvPicPr>
        <xdr:cNvPr id="245" name="Imagen 1">
          <a:extLst>
            <a:ext uri="{FF2B5EF4-FFF2-40B4-BE49-F238E27FC236}">
              <a16:creationId xmlns:a16="http://schemas.microsoft.com/office/drawing/2014/main" id="{C2C3F891-5DFA-47B1-8866-E8E97FE6A83C}"/>
            </a:ext>
            <a:ext uri="{147F2762-F138-4A5C-976F-8EAC2B608ADB}">
              <a16:predDERef xmlns:a16="http://schemas.microsoft.com/office/drawing/2014/main" pred="{A5BDC352-BCA8-4866-87AC-F15461AB4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133350</xdr:colOff>
      <xdr:row>7</xdr:row>
      <xdr:rowOff>38100</xdr:rowOff>
    </xdr:to>
    <xdr:pic>
      <xdr:nvPicPr>
        <xdr:cNvPr id="246" name="Imagen 1">
          <a:extLst>
            <a:ext uri="{FF2B5EF4-FFF2-40B4-BE49-F238E27FC236}">
              <a16:creationId xmlns:a16="http://schemas.microsoft.com/office/drawing/2014/main" id="{2F4C24E7-47B6-4FCA-9C92-D5E306BCF4A2}"/>
            </a:ext>
            <a:ext uri="{147F2762-F138-4A5C-976F-8EAC2B608ADB}">
              <a16:predDERef xmlns:a16="http://schemas.microsoft.com/office/drawing/2014/main" pred="{C2C3F891-5DFA-47B1-8866-E8E97FE6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133350</xdr:colOff>
      <xdr:row>7</xdr:row>
      <xdr:rowOff>38100</xdr:rowOff>
    </xdr:to>
    <xdr:pic>
      <xdr:nvPicPr>
        <xdr:cNvPr id="247" name="Imagen 1">
          <a:extLst>
            <a:ext uri="{FF2B5EF4-FFF2-40B4-BE49-F238E27FC236}">
              <a16:creationId xmlns:a16="http://schemas.microsoft.com/office/drawing/2014/main" id="{7F49F4C9-2221-41E2-AB0F-3004B4C1E00A}"/>
            </a:ext>
            <a:ext uri="{147F2762-F138-4A5C-976F-8EAC2B608ADB}">
              <a16:predDERef xmlns:a16="http://schemas.microsoft.com/office/drawing/2014/main" pred="{2F4C24E7-47B6-4FCA-9C92-D5E306BC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133350</xdr:colOff>
      <xdr:row>34</xdr:row>
      <xdr:rowOff>28575</xdr:rowOff>
    </xdr:to>
    <xdr:pic>
      <xdr:nvPicPr>
        <xdr:cNvPr id="248" name="Imagen 1">
          <a:extLst>
            <a:ext uri="{FF2B5EF4-FFF2-40B4-BE49-F238E27FC236}">
              <a16:creationId xmlns:a16="http://schemas.microsoft.com/office/drawing/2014/main" id="{975E1557-B510-438F-AC19-87C1228DB054}"/>
            </a:ext>
            <a:ext uri="{147F2762-F138-4A5C-976F-8EAC2B608ADB}">
              <a16:predDERef xmlns:a16="http://schemas.microsoft.com/office/drawing/2014/main" pred="{7F49F4C9-2221-41E2-AB0F-3004B4C1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249" name="Imagen 1">
          <a:extLst>
            <a:ext uri="{FF2B5EF4-FFF2-40B4-BE49-F238E27FC236}">
              <a16:creationId xmlns:a16="http://schemas.microsoft.com/office/drawing/2014/main" id="{14CB31A0-A93E-4303-B8E5-84FC9D8FE58C}"/>
            </a:ext>
            <a:ext uri="{147F2762-F138-4A5C-976F-8EAC2B608ADB}">
              <a16:predDERef xmlns:a16="http://schemas.microsoft.com/office/drawing/2014/main" pred="{975E1557-B510-438F-AC19-87C1228D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133350</xdr:colOff>
      <xdr:row>8</xdr:row>
      <xdr:rowOff>38100</xdr:rowOff>
    </xdr:to>
    <xdr:pic>
      <xdr:nvPicPr>
        <xdr:cNvPr id="250" name="Imagen 1">
          <a:extLst>
            <a:ext uri="{FF2B5EF4-FFF2-40B4-BE49-F238E27FC236}">
              <a16:creationId xmlns:a16="http://schemas.microsoft.com/office/drawing/2014/main" id="{C321191A-9675-493D-98E9-65CB172F95AF}"/>
            </a:ext>
            <a:ext uri="{147F2762-F138-4A5C-976F-8EAC2B608ADB}">
              <a16:predDERef xmlns:a16="http://schemas.microsoft.com/office/drawing/2014/main" pred="{14CB31A0-A93E-4303-B8E5-84FC9D8F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133350</xdr:colOff>
      <xdr:row>8</xdr:row>
      <xdr:rowOff>38100</xdr:rowOff>
    </xdr:to>
    <xdr:pic>
      <xdr:nvPicPr>
        <xdr:cNvPr id="251" name="Imagen 1">
          <a:extLst>
            <a:ext uri="{FF2B5EF4-FFF2-40B4-BE49-F238E27FC236}">
              <a16:creationId xmlns:a16="http://schemas.microsoft.com/office/drawing/2014/main" id="{BB46E010-B63C-4E20-ADE9-90F23F4B21AA}"/>
            </a:ext>
            <a:ext uri="{147F2762-F138-4A5C-976F-8EAC2B608ADB}">
              <a16:predDERef xmlns:a16="http://schemas.microsoft.com/office/drawing/2014/main" pred="{C321191A-9675-493D-98E9-65CB172F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252" name="Imagen 1">
          <a:extLst>
            <a:ext uri="{FF2B5EF4-FFF2-40B4-BE49-F238E27FC236}">
              <a16:creationId xmlns:a16="http://schemas.microsoft.com/office/drawing/2014/main" id="{41613BAF-1FB2-45A5-B99F-BA243800AC08}"/>
            </a:ext>
            <a:ext uri="{147F2762-F138-4A5C-976F-8EAC2B608ADB}">
              <a16:predDERef xmlns:a16="http://schemas.microsoft.com/office/drawing/2014/main" pred="{BB46E010-B63C-4E20-ADE9-90F23F4B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133350</xdr:colOff>
      <xdr:row>8</xdr:row>
      <xdr:rowOff>38100</xdr:rowOff>
    </xdr:to>
    <xdr:pic>
      <xdr:nvPicPr>
        <xdr:cNvPr id="253" name="Imagen 1">
          <a:extLst>
            <a:ext uri="{FF2B5EF4-FFF2-40B4-BE49-F238E27FC236}">
              <a16:creationId xmlns:a16="http://schemas.microsoft.com/office/drawing/2014/main" id="{C1997819-7740-4680-A103-2FC10A11FD62}"/>
            </a:ext>
            <a:ext uri="{147F2762-F138-4A5C-976F-8EAC2B608ADB}">
              <a16:predDERef xmlns:a16="http://schemas.microsoft.com/office/drawing/2014/main" pred="{41613BAF-1FB2-45A5-B99F-BA243800A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133350</xdr:colOff>
      <xdr:row>8</xdr:row>
      <xdr:rowOff>38100</xdr:rowOff>
    </xdr:to>
    <xdr:pic>
      <xdr:nvPicPr>
        <xdr:cNvPr id="254" name="Imagen 1">
          <a:extLst>
            <a:ext uri="{FF2B5EF4-FFF2-40B4-BE49-F238E27FC236}">
              <a16:creationId xmlns:a16="http://schemas.microsoft.com/office/drawing/2014/main" id="{154F4BF9-7166-41E9-B17D-046F90151C13}"/>
            </a:ext>
            <a:ext uri="{147F2762-F138-4A5C-976F-8EAC2B608ADB}">
              <a16:predDERef xmlns:a16="http://schemas.microsoft.com/office/drawing/2014/main" pred="{C1997819-7740-4680-A103-2FC10A11F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133350</xdr:colOff>
      <xdr:row>8</xdr:row>
      <xdr:rowOff>38100</xdr:rowOff>
    </xdr:to>
    <xdr:pic>
      <xdr:nvPicPr>
        <xdr:cNvPr id="255" name="Imagen 1">
          <a:extLst>
            <a:ext uri="{FF2B5EF4-FFF2-40B4-BE49-F238E27FC236}">
              <a16:creationId xmlns:a16="http://schemas.microsoft.com/office/drawing/2014/main" id="{803ECBBB-187C-42B6-B5A3-CE010EB84502}"/>
            </a:ext>
            <a:ext uri="{147F2762-F138-4A5C-976F-8EAC2B608ADB}">
              <a16:predDERef xmlns:a16="http://schemas.microsoft.com/office/drawing/2014/main" pred="{154F4BF9-7166-41E9-B17D-046F90151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133350</xdr:colOff>
      <xdr:row>35</xdr:row>
      <xdr:rowOff>28575</xdr:rowOff>
    </xdr:to>
    <xdr:pic>
      <xdr:nvPicPr>
        <xdr:cNvPr id="256" name="Imagen 1">
          <a:extLst>
            <a:ext uri="{FF2B5EF4-FFF2-40B4-BE49-F238E27FC236}">
              <a16:creationId xmlns:a16="http://schemas.microsoft.com/office/drawing/2014/main" id="{62427B08-B610-47D7-866F-4A29A7AAA7DA}"/>
            </a:ext>
            <a:ext uri="{147F2762-F138-4A5C-976F-8EAC2B608ADB}">
              <a16:predDERef xmlns:a16="http://schemas.microsoft.com/office/drawing/2014/main" pred="{803ECBBB-187C-42B6-B5A3-CE010EB8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257" name="Imagen 1">
          <a:extLst>
            <a:ext uri="{FF2B5EF4-FFF2-40B4-BE49-F238E27FC236}">
              <a16:creationId xmlns:a16="http://schemas.microsoft.com/office/drawing/2014/main" id="{03057E0D-9220-4C43-A9D4-89CC231DB5E3}"/>
            </a:ext>
            <a:ext uri="{147F2762-F138-4A5C-976F-8EAC2B608ADB}">
              <a16:predDERef xmlns:a16="http://schemas.microsoft.com/office/drawing/2014/main" pred="{62427B08-B610-47D7-866F-4A29A7AA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133350</xdr:colOff>
      <xdr:row>9</xdr:row>
      <xdr:rowOff>38100</xdr:rowOff>
    </xdr:to>
    <xdr:pic>
      <xdr:nvPicPr>
        <xdr:cNvPr id="258" name="Imagen 1">
          <a:extLst>
            <a:ext uri="{FF2B5EF4-FFF2-40B4-BE49-F238E27FC236}">
              <a16:creationId xmlns:a16="http://schemas.microsoft.com/office/drawing/2014/main" id="{14034BF0-8D9D-4AD3-AA9C-5B78C448AAE9}"/>
            </a:ext>
            <a:ext uri="{147F2762-F138-4A5C-976F-8EAC2B608ADB}">
              <a16:predDERef xmlns:a16="http://schemas.microsoft.com/office/drawing/2014/main" pred="{03057E0D-9220-4C43-A9D4-89CC231DB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133350</xdr:colOff>
      <xdr:row>9</xdr:row>
      <xdr:rowOff>38100</xdr:rowOff>
    </xdr:to>
    <xdr:pic>
      <xdr:nvPicPr>
        <xdr:cNvPr id="259" name="Imagen 1">
          <a:extLst>
            <a:ext uri="{FF2B5EF4-FFF2-40B4-BE49-F238E27FC236}">
              <a16:creationId xmlns:a16="http://schemas.microsoft.com/office/drawing/2014/main" id="{C05C69FE-1FF9-4181-B884-87D692C785AD}"/>
            </a:ext>
            <a:ext uri="{147F2762-F138-4A5C-976F-8EAC2B608ADB}">
              <a16:predDERef xmlns:a16="http://schemas.microsoft.com/office/drawing/2014/main" pred="{14034BF0-8D9D-4AD3-AA9C-5B78C448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260" name="Imagen 1">
          <a:extLst>
            <a:ext uri="{FF2B5EF4-FFF2-40B4-BE49-F238E27FC236}">
              <a16:creationId xmlns:a16="http://schemas.microsoft.com/office/drawing/2014/main" id="{591DD2D2-0DAA-48CA-9C8D-8D776233EFBA}"/>
            </a:ext>
            <a:ext uri="{147F2762-F138-4A5C-976F-8EAC2B608ADB}">
              <a16:predDERef xmlns:a16="http://schemas.microsoft.com/office/drawing/2014/main" pred="{C05C69FE-1FF9-4181-B884-87D692C78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133350</xdr:colOff>
      <xdr:row>9</xdr:row>
      <xdr:rowOff>38100</xdr:rowOff>
    </xdr:to>
    <xdr:pic>
      <xdr:nvPicPr>
        <xdr:cNvPr id="261" name="Imagen 1">
          <a:extLst>
            <a:ext uri="{FF2B5EF4-FFF2-40B4-BE49-F238E27FC236}">
              <a16:creationId xmlns:a16="http://schemas.microsoft.com/office/drawing/2014/main" id="{29ADC3EC-AE47-4822-B8A2-F0F3F690D601}"/>
            </a:ext>
            <a:ext uri="{147F2762-F138-4A5C-976F-8EAC2B608ADB}">
              <a16:predDERef xmlns:a16="http://schemas.microsoft.com/office/drawing/2014/main" pred="{591DD2D2-0DAA-48CA-9C8D-8D776233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</xdr:colOff>
      <xdr:row>9</xdr:row>
      <xdr:rowOff>38100</xdr:rowOff>
    </xdr:to>
    <xdr:pic>
      <xdr:nvPicPr>
        <xdr:cNvPr id="262" name="Imagen 1">
          <a:extLst>
            <a:ext uri="{FF2B5EF4-FFF2-40B4-BE49-F238E27FC236}">
              <a16:creationId xmlns:a16="http://schemas.microsoft.com/office/drawing/2014/main" id="{975A515F-1894-46E1-8086-B2D66A9B6987}"/>
            </a:ext>
            <a:ext uri="{147F2762-F138-4A5C-976F-8EAC2B608ADB}">
              <a16:predDERef xmlns:a16="http://schemas.microsoft.com/office/drawing/2014/main" pred="{29ADC3EC-AE47-4822-B8A2-F0F3F690D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133350</xdr:colOff>
      <xdr:row>9</xdr:row>
      <xdr:rowOff>38100</xdr:rowOff>
    </xdr:to>
    <xdr:pic>
      <xdr:nvPicPr>
        <xdr:cNvPr id="263" name="Imagen 1">
          <a:extLst>
            <a:ext uri="{FF2B5EF4-FFF2-40B4-BE49-F238E27FC236}">
              <a16:creationId xmlns:a16="http://schemas.microsoft.com/office/drawing/2014/main" id="{6AACCC32-073E-4C63-9B7D-7D84CCDEFA02}"/>
            </a:ext>
            <a:ext uri="{147F2762-F138-4A5C-976F-8EAC2B608ADB}">
              <a16:predDERef xmlns:a16="http://schemas.microsoft.com/office/drawing/2014/main" pred="{975A515F-1894-46E1-8086-B2D66A9B6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133350</xdr:colOff>
      <xdr:row>36</xdr:row>
      <xdr:rowOff>28575</xdr:rowOff>
    </xdr:to>
    <xdr:pic>
      <xdr:nvPicPr>
        <xdr:cNvPr id="264" name="Imagen 1">
          <a:extLst>
            <a:ext uri="{FF2B5EF4-FFF2-40B4-BE49-F238E27FC236}">
              <a16:creationId xmlns:a16="http://schemas.microsoft.com/office/drawing/2014/main" id="{C5D19E07-642A-40E0-BBE2-8D8B37386C04}"/>
            </a:ext>
            <a:ext uri="{147F2762-F138-4A5C-976F-8EAC2B608ADB}">
              <a16:predDERef xmlns:a16="http://schemas.microsoft.com/office/drawing/2014/main" pred="{6AACCC32-073E-4C63-9B7D-7D84CCDE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265" name="Imagen 1">
          <a:extLst>
            <a:ext uri="{FF2B5EF4-FFF2-40B4-BE49-F238E27FC236}">
              <a16:creationId xmlns:a16="http://schemas.microsoft.com/office/drawing/2014/main" id="{3DD3C313-2440-4FF1-B4B0-7E2E1D41D730}"/>
            </a:ext>
            <a:ext uri="{147F2762-F138-4A5C-976F-8EAC2B608ADB}">
              <a16:predDERef xmlns:a16="http://schemas.microsoft.com/office/drawing/2014/main" pred="{C5D19E07-642A-40E0-BBE2-8D8B3738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133350</xdr:colOff>
      <xdr:row>10</xdr:row>
      <xdr:rowOff>28575</xdr:rowOff>
    </xdr:to>
    <xdr:pic>
      <xdr:nvPicPr>
        <xdr:cNvPr id="266" name="Imagen 1">
          <a:extLst>
            <a:ext uri="{FF2B5EF4-FFF2-40B4-BE49-F238E27FC236}">
              <a16:creationId xmlns:a16="http://schemas.microsoft.com/office/drawing/2014/main" id="{27D91425-D611-4476-BE68-A0F577A858A2}"/>
            </a:ext>
            <a:ext uri="{147F2762-F138-4A5C-976F-8EAC2B608ADB}">
              <a16:predDERef xmlns:a16="http://schemas.microsoft.com/office/drawing/2014/main" pred="{3DD3C313-2440-4FF1-B4B0-7E2E1D41D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133350</xdr:colOff>
      <xdr:row>10</xdr:row>
      <xdr:rowOff>28575</xdr:rowOff>
    </xdr:to>
    <xdr:pic>
      <xdr:nvPicPr>
        <xdr:cNvPr id="267" name="Imagen 1">
          <a:extLst>
            <a:ext uri="{FF2B5EF4-FFF2-40B4-BE49-F238E27FC236}">
              <a16:creationId xmlns:a16="http://schemas.microsoft.com/office/drawing/2014/main" id="{3E2E1877-0DB3-4B6B-B781-58158A83C21A}"/>
            </a:ext>
            <a:ext uri="{147F2762-F138-4A5C-976F-8EAC2B608ADB}">
              <a16:predDERef xmlns:a16="http://schemas.microsoft.com/office/drawing/2014/main" pred="{27D91425-D611-4476-BE68-A0F577A8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268" name="Imagen 1">
          <a:extLst>
            <a:ext uri="{FF2B5EF4-FFF2-40B4-BE49-F238E27FC236}">
              <a16:creationId xmlns:a16="http://schemas.microsoft.com/office/drawing/2014/main" id="{1F04D585-2F96-49D7-AE76-0BD6D5A3CFBE}"/>
            </a:ext>
            <a:ext uri="{147F2762-F138-4A5C-976F-8EAC2B608ADB}">
              <a16:predDERef xmlns:a16="http://schemas.microsoft.com/office/drawing/2014/main" pred="{3E2E1877-0DB3-4B6B-B781-58158A83C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133350</xdr:colOff>
      <xdr:row>10</xdr:row>
      <xdr:rowOff>28575</xdr:rowOff>
    </xdr:to>
    <xdr:pic>
      <xdr:nvPicPr>
        <xdr:cNvPr id="269" name="Imagen 1">
          <a:extLst>
            <a:ext uri="{FF2B5EF4-FFF2-40B4-BE49-F238E27FC236}">
              <a16:creationId xmlns:a16="http://schemas.microsoft.com/office/drawing/2014/main" id="{4F6BE0AD-D3EA-4184-A119-95B476966E31}"/>
            </a:ext>
            <a:ext uri="{147F2762-F138-4A5C-976F-8EAC2B608ADB}">
              <a16:predDERef xmlns:a16="http://schemas.microsoft.com/office/drawing/2014/main" pred="{1F04D585-2F96-49D7-AE76-0BD6D5A3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133350</xdr:colOff>
      <xdr:row>10</xdr:row>
      <xdr:rowOff>28575</xdr:rowOff>
    </xdr:to>
    <xdr:pic>
      <xdr:nvPicPr>
        <xdr:cNvPr id="270" name="Imagen 1">
          <a:extLst>
            <a:ext uri="{FF2B5EF4-FFF2-40B4-BE49-F238E27FC236}">
              <a16:creationId xmlns:a16="http://schemas.microsoft.com/office/drawing/2014/main" id="{8C1EE6E8-27F4-448C-8017-7D5246668CA2}"/>
            </a:ext>
            <a:ext uri="{147F2762-F138-4A5C-976F-8EAC2B608ADB}">
              <a16:predDERef xmlns:a16="http://schemas.microsoft.com/office/drawing/2014/main" pred="{4F6BE0AD-D3EA-4184-A119-95B476966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133350</xdr:colOff>
      <xdr:row>10</xdr:row>
      <xdr:rowOff>28575</xdr:rowOff>
    </xdr:to>
    <xdr:pic>
      <xdr:nvPicPr>
        <xdr:cNvPr id="271" name="Imagen 1">
          <a:extLst>
            <a:ext uri="{FF2B5EF4-FFF2-40B4-BE49-F238E27FC236}">
              <a16:creationId xmlns:a16="http://schemas.microsoft.com/office/drawing/2014/main" id="{CB2C754A-3533-4A49-B598-CDC61C98DEB9}"/>
            </a:ext>
            <a:ext uri="{147F2762-F138-4A5C-976F-8EAC2B608ADB}">
              <a16:predDERef xmlns:a16="http://schemas.microsoft.com/office/drawing/2014/main" pred="{8C1EE6E8-27F4-448C-8017-7D5246668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133350</xdr:colOff>
      <xdr:row>37</xdr:row>
      <xdr:rowOff>28575</xdr:rowOff>
    </xdr:to>
    <xdr:pic>
      <xdr:nvPicPr>
        <xdr:cNvPr id="272" name="Imagen 1">
          <a:extLst>
            <a:ext uri="{FF2B5EF4-FFF2-40B4-BE49-F238E27FC236}">
              <a16:creationId xmlns:a16="http://schemas.microsoft.com/office/drawing/2014/main" id="{1CD27730-4211-4DCA-871B-E83D152925F7}"/>
            </a:ext>
            <a:ext uri="{147F2762-F138-4A5C-976F-8EAC2B608ADB}">
              <a16:predDERef xmlns:a16="http://schemas.microsoft.com/office/drawing/2014/main" pred="{CB2C754A-3533-4A49-B598-CDC61C98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273" name="Imagen 1">
          <a:extLst>
            <a:ext uri="{FF2B5EF4-FFF2-40B4-BE49-F238E27FC236}">
              <a16:creationId xmlns:a16="http://schemas.microsoft.com/office/drawing/2014/main" id="{15AE33F0-B489-439F-B284-D927039009EC}"/>
            </a:ext>
            <a:ext uri="{147F2762-F138-4A5C-976F-8EAC2B608ADB}">
              <a16:predDERef xmlns:a16="http://schemas.microsoft.com/office/drawing/2014/main" pred="{1CD27730-4211-4DCA-871B-E83D1529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133350</xdr:colOff>
      <xdr:row>11</xdr:row>
      <xdr:rowOff>28575</xdr:rowOff>
    </xdr:to>
    <xdr:pic>
      <xdr:nvPicPr>
        <xdr:cNvPr id="274" name="Imagen 1">
          <a:extLst>
            <a:ext uri="{FF2B5EF4-FFF2-40B4-BE49-F238E27FC236}">
              <a16:creationId xmlns:a16="http://schemas.microsoft.com/office/drawing/2014/main" id="{8FD0D93E-B357-48AF-9DAB-45BAFC2772E8}"/>
            </a:ext>
            <a:ext uri="{147F2762-F138-4A5C-976F-8EAC2B608ADB}">
              <a16:predDERef xmlns:a16="http://schemas.microsoft.com/office/drawing/2014/main" pred="{15AE33F0-B489-439F-B284-D92703900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133350</xdr:colOff>
      <xdr:row>11</xdr:row>
      <xdr:rowOff>28575</xdr:rowOff>
    </xdr:to>
    <xdr:pic>
      <xdr:nvPicPr>
        <xdr:cNvPr id="275" name="Imagen 1">
          <a:extLst>
            <a:ext uri="{FF2B5EF4-FFF2-40B4-BE49-F238E27FC236}">
              <a16:creationId xmlns:a16="http://schemas.microsoft.com/office/drawing/2014/main" id="{73DA2613-C489-4CF7-9014-93E42C9ACD8A}"/>
            </a:ext>
            <a:ext uri="{147F2762-F138-4A5C-976F-8EAC2B608ADB}">
              <a16:predDERef xmlns:a16="http://schemas.microsoft.com/office/drawing/2014/main" pred="{8FD0D93E-B357-48AF-9DAB-45BAFC27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276" name="Imagen 1">
          <a:extLst>
            <a:ext uri="{FF2B5EF4-FFF2-40B4-BE49-F238E27FC236}">
              <a16:creationId xmlns:a16="http://schemas.microsoft.com/office/drawing/2014/main" id="{176A2200-18C9-4185-A7C4-8B046657E27D}"/>
            </a:ext>
            <a:ext uri="{147F2762-F138-4A5C-976F-8EAC2B608ADB}">
              <a16:predDERef xmlns:a16="http://schemas.microsoft.com/office/drawing/2014/main" pred="{73DA2613-C489-4CF7-9014-93E42C9AC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133350</xdr:colOff>
      <xdr:row>11</xdr:row>
      <xdr:rowOff>28575</xdr:rowOff>
    </xdr:to>
    <xdr:pic>
      <xdr:nvPicPr>
        <xdr:cNvPr id="277" name="Imagen 1">
          <a:extLst>
            <a:ext uri="{FF2B5EF4-FFF2-40B4-BE49-F238E27FC236}">
              <a16:creationId xmlns:a16="http://schemas.microsoft.com/office/drawing/2014/main" id="{13936B42-726B-4FFA-87BF-FCBBFCA3EA0E}"/>
            </a:ext>
            <a:ext uri="{147F2762-F138-4A5C-976F-8EAC2B608ADB}">
              <a16:predDERef xmlns:a16="http://schemas.microsoft.com/office/drawing/2014/main" pred="{176A2200-18C9-4185-A7C4-8B046657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133350</xdr:colOff>
      <xdr:row>11</xdr:row>
      <xdr:rowOff>28575</xdr:rowOff>
    </xdr:to>
    <xdr:pic>
      <xdr:nvPicPr>
        <xdr:cNvPr id="278" name="Imagen 1">
          <a:extLst>
            <a:ext uri="{FF2B5EF4-FFF2-40B4-BE49-F238E27FC236}">
              <a16:creationId xmlns:a16="http://schemas.microsoft.com/office/drawing/2014/main" id="{9383D4A5-69CA-4063-964C-252EE6D23262}"/>
            </a:ext>
            <a:ext uri="{147F2762-F138-4A5C-976F-8EAC2B608ADB}">
              <a16:predDERef xmlns:a16="http://schemas.microsoft.com/office/drawing/2014/main" pred="{13936B42-726B-4FFA-87BF-FCBBFCA3E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133350</xdr:colOff>
      <xdr:row>11</xdr:row>
      <xdr:rowOff>28575</xdr:rowOff>
    </xdr:to>
    <xdr:pic>
      <xdr:nvPicPr>
        <xdr:cNvPr id="279" name="Imagen 1">
          <a:extLst>
            <a:ext uri="{FF2B5EF4-FFF2-40B4-BE49-F238E27FC236}">
              <a16:creationId xmlns:a16="http://schemas.microsoft.com/office/drawing/2014/main" id="{FD952399-141C-4ACB-B14B-898E21055BF2}"/>
            </a:ext>
            <a:ext uri="{147F2762-F138-4A5C-976F-8EAC2B608ADB}">
              <a16:predDERef xmlns:a16="http://schemas.microsoft.com/office/drawing/2014/main" pred="{9383D4A5-69CA-4063-964C-252EE6D2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133350</xdr:colOff>
      <xdr:row>38</xdr:row>
      <xdr:rowOff>28575</xdr:rowOff>
    </xdr:to>
    <xdr:pic>
      <xdr:nvPicPr>
        <xdr:cNvPr id="280" name="Imagen 1">
          <a:extLst>
            <a:ext uri="{FF2B5EF4-FFF2-40B4-BE49-F238E27FC236}">
              <a16:creationId xmlns:a16="http://schemas.microsoft.com/office/drawing/2014/main" id="{B4093F7F-A767-4ECD-ADDF-4DB067BDBDBC}"/>
            </a:ext>
            <a:ext uri="{147F2762-F138-4A5C-976F-8EAC2B608ADB}">
              <a16:predDERef xmlns:a16="http://schemas.microsoft.com/office/drawing/2014/main" pred="{FD952399-141C-4ACB-B14B-898E2105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281" name="Imagen 1">
          <a:extLst>
            <a:ext uri="{FF2B5EF4-FFF2-40B4-BE49-F238E27FC236}">
              <a16:creationId xmlns:a16="http://schemas.microsoft.com/office/drawing/2014/main" id="{199D8DB7-9511-426B-B650-29C7663541D5}"/>
            </a:ext>
            <a:ext uri="{147F2762-F138-4A5C-976F-8EAC2B608ADB}">
              <a16:predDERef xmlns:a16="http://schemas.microsoft.com/office/drawing/2014/main" pred="{B4093F7F-A767-4ECD-ADDF-4DB067BD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133350</xdr:colOff>
      <xdr:row>12</xdr:row>
      <xdr:rowOff>28575</xdr:rowOff>
    </xdr:to>
    <xdr:pic>
      <xdr:nvPicPr>
        <xdr:cNvPr id="282" name="Imagen 1">
          <a:extLst>
            <a:ext uri="{FF2B5EF4-FFF2-40B4-BE49-F238E27FC236}">
              <a16:creationId xmlns:a16="http://schemas.microsoft.com/office/drawing/2014/main" id="{273D2332-9AFE-4CA9-AD2B-5FB231618D2B}"/>
            </a:ext>
            <a:ext uri="{147F2762-F138-4A5C-976F-8EAC2B608ADB}">
              <a16:predDERef xmlns:a16="http://schemas.microsoft.com/office/drawing/2014/main" pred="{199D8DB7-9511-426B-B650-29C76635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133350</xdr:colOff>
      <xdr:row>12</xdr:row>
      <xdr:rowOff>28575</xdr:rowOff>
    </xdr:to>
    <xdr:pic>
      <xdr:nvPicPr>
        <xdr:cNvPr id="283" name="Imagen 1">
          <a:extLst>
            <a:ext uri="{FF2B5EF4-FFF2-40B4-BE49-F238E27FC236}">
              <a16:creationId xmlns:a16="http://schemas.microsoft.com/office/drawing/2014/main" id="{6D2E5E63-DFD1-4175-BC5B-BD87A8469150}"/>
            </a:ext>
            <a:ext uri="{147F2762-F138-4A5C-976F-8EAC2B608ADB}">
              <a16:predDERef xmlns:a16="http://schemas.microsoft.com/office/drawing/2014/main" pred="{273D2332-9AFE-4CA9-AD2B-5FB23161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284" name="Imagen 1">
          <a:extLst>
            <a:ext uri="{FF2B5EF4-FFF2-40B4-BE49-F238E27FC236}">
              <a16:creationId xmlns:a16="http://schemas.microsoft.com/office/drawing/2014/main" id="{3A9ACA76-E731-4E7B-A352-59F6179A7478}"/>
            </a:ext>
            <a:ext uri="{147F2762-F138-4A5C-976F-8EAC2B608ADB}">
              <a16:predDERef xmlns:a16="http://schemas.microsoft.com/office/drawing/2014/main" pred="{6D2E5E63-DFD1-4175-BC5B-BD87A846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28575</xdr:rowOff>
    </xdr:to>
    <xdr:pic>
      <xdr:nvPicPr>
        <xdr:cNvPr id="285" name="Imagen 1">
          <a:extLst>
            <a:ext uri="{FF2B5EF4-FFF2-40B4-BE49-F238E27FC236}">
              <a16:creationId xmlns:a16="http://schemas.microsoft.com/office/drawing/2014/main" id="{7A3BB707-70C7-43A2-AA57-7BC0E2ACC4B9}"/>
            </a:ext>
            <a:ext uri="{147F2762-F138-4A5C-976F-8EAC2B608ADB}">
              <a16:predDERef xmlns:a16="http://schemas.microsoft.com/office/drawing/2014/main" pred="{3A9ACA76-E731-4E7B-A352-59F6179A7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</xdr:colOff>
      <xdr:row>12</xdr:row>
      <xdr:rowOff>28575</xdr:rowOff>
    </xdr:to>
    <xdr:pic>
      <xdr:nvPicPr>
        <xdr:cNvPr id="286" name="Imagen 1">
          <a:extLst>
            <a:ext uri="{FF2B5EF4-FFF2-40B4-BE49-F238E27FC236}">
              <a16:creationId xmlns:a16="http://schemas.microsoft.com/office/drawing/2014/main" id="{0DD902BE-74FB-43C1-8DBD-A88F461E3A4C}"/>
            </a:ext>
            <a:ext uri="{147F2762-F138-4A5C-976F-8EAC2B608ADB}">
              <a16:predDERef xmlns:a16="http://schemas.microsoft.com/office/drawing/2014/main" pred="{7A3BB707-70C7-43A2-AA57-7BC0E2ACC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133350</xdr:colOff>
      <xdr:row>12</xdr:row>
      <xdr:rowOff>28575</xdr:rowOff>
    </xdr:to>
    <xdr:pic>
      <xdr:nvPicPr>
        <xdr:cNvPr id="287" name="Imagen 1">
          <a:extLst>
            <a:ext uri="{FF2B5EF4-FFF2-40B4-BE49-F238E27FC236}">
              <a16:creationId xmlns:a16="http://schemas.microsoft.com/office/drawing/2014/main" id="{EA22DEAA-4E6E-4270-91F3-12B36A2E42AE}"/>
            </a:ext>
            <a:ext uri="{147F2762-F138-4A5C-976F-8EAC2B608ADB}">
              <a16:predDERef xmlns:a16="http://schemas.microsoft.com/office/drawing/2014/main" pred="{0DD902BE-74FB-43C1-8DBD-A88F461E3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133350</xdr:colOff>
      <xdr:row>16</xdr:row>
      <xdr:rowOff>38100</xdr:rowOff>
    </xdr:to>
    <xdr:pic>
      <xdr:nvPicPr>
        <xdr:cNvPr id="288" name="Imagen 1">
          <a:extLst>
            <a:ext uri="{FF2B5EF4-FFF2-40B4-BE49-F238E27FC236}">
              <a16:creationId xmlns:a16="http://schemas.microsoft.com/office/drawing/2014/main" id="{2992AFE8-9CEF-458D-A774-630598333EEF}"/>
            </a:ext>
            <a:ext uri="{147F2762-F138-4A5C-976F-8EAC2B608ADB}">
              <a16:predDERef xmlns:a16="http://schemas.microsoft.com/office/drawing/2014/main" pred="{EA22DEAA-4E6E-4270-91F3-12B36A2E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38100</xdr:rowOff>
    </xdr:to>
    <xdr:pic>
      <xdr:nvPicPr>
        <xdr:cNvPr id="289" name="Imagen 1">
          <a:extLst>
            <a:ext uri="{FF2B5EF4-FFF2-40B4-BE49-F238E27FC236}">
              <a16:creationId xmlns:a16="http://schemas.microsoft.com/office/drawing/2014/main" id="{F3CF6862-336C-4F92-B0C2-6FF6B0E3BDAA}"/>
            </a:ext>
            <a:ext uri="{147F2762-F138-4A5C-976F-8EAC2B608ADB}">
              <a16:predDERef xmlns:a16="http://schemas.microsoft.com/office/drawing/2014/main" pred="{2992AFE8-9CEF-458D-A774-630598333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38100</xdr:rowOff>
    </xdr:to>
    <xdr:pic>
      <xdr:nvPicPr>
        <xdr:cNvPr id="290" name="Imagen 1">
          <a:extLst>
            <a:ext uri="{FF2B5EF4-FFF2-40B4-BE49-F238E27FC236}">
              <a16:creationId xmlns:a16="http://schemas.microsoft.com/office/drawing/2014/main" id="{5A4B433D-B285-42E4-A39A-C87484630C17}"/>
            </a:ext>
            <a:ext uri="{147F2762-F138-4A5C-976F-8EAC2B608ADB}">
              <a16:predDERef xmlns:a16="http://schemas.microsoft.com/office/drawing/2014/main" pred="{F3CF6862-336C-4F92-B0C2-6FF6B0E3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38100</xdr:rowOff>
    </xdr:to>
    <xdr:pic>
      <xdr:nvPicPr>
        <xdr:cNvPr id="291" name="Imagen 1">
          <a:extLst>
            <a:ext uri="{FF2B5EF4-FFF2-40B4-BE49-F238E27FC236}">
              <a16:creationId xmlns:a16="http://schemas.microsoft.com/office/drawing/2014/main" id="{C7E2EC98-D4D7-4770-8613-4C4BEF3D2594}"/>
            </a:ext>
            <a:ext uri="{147F2762-F138-4A5C-976F-8EAC2B608ADB}">
              <a16:predDERef xmlns:a16="http://schemas.microsoft.com/office/drawing/2014/main" pred="{5A4B433D-B285-42E4-A39A-C87484630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38100</xdr:rowOff>
    </xdr:to>
    <xdr:pic>
      <xdr:nvPicPr>
        <xdr:cNvPr id="292" name="Imagen 1">
          <a:extLst>
            <a:ext uri="{FF2B5EF4-FFF2-40B4-BE49-F238E27FC236}">
              <a16:creationId xmlns:a16="http://schemas.microsoft.com/office/drawing/2014/main" id="{348720D4-1D14-4278-95A5-EEE38087775B}"/>
            </a:ext>
            <a:ext uri="{147F2762-F138-4A5C-976F-8EAC2B608ADB}">
              <a16:predDERef xmlns:a16="http://schemas.microsoft.com/office/drawing/2014/main" pred="{C7E2EC98-D4D7-4770-8613-4C4BEF3D2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38100</xdr:rowOff>
    </xdr:to>
    <xdr:pic>
      <xdr:nvPicPr>
        <xdr:cNvPr id="293" name="Imagen 1">
          <a:extLst>
            <a:ext uri="{FF2B5EF4-FFF2-40B4-BE49-F238E27FC236}">
              <a16:creationId xmlns:a16="http://schemas.microsoft.com/office/drawing/2014/main" id="{DFA6B7D9-5D12-4691-B1D5-1601FB61EB60}"/>
            </a:ext>
            <a:ext uri="{147F2762-F138-4A5C-976F-8EAC2B608ADB}">
              <a16:predDERef xmlns:a16="http://schemas.microsoft.com/office/drawing/2014/main" pred="{348720D4-1D14-4278-95A5-EEE380877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38100</xdr:rowOff>
    </xdr:to>
    <xdr:pic>
      <xdr:nvPicPr>
        <xdr:cNvPr id="294" name="Imagen 1">
          <a:extLst>
            <a:ext uri="{FF2B5EF4-FFF2-40B4-BE49-F238E27FC236}">
              <a16:creationId xmlns:a16="http://schemas.microsoft.com/office/drawing/2014/main" id="{E2BECF7B-C13F-40A5-9184-F7C42A500676}"/>
            </a:ext>
            <a:ext uri="{147F2762-F138-4A5C-976F-8EAC2B608ADB}">
              <a16:predDERef xmlns:a16="http://schemas.microsoft.com/office/drawing/2014/main" pred="{DFA6B7D9-5D12-4691-B1D5-1601FB61E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28575</xdr:rowOff>
    </xdr:to>
    <xdr:pic>
      <xdr:nvPicPr>
        <xdr:cNvPr id="295" name="Imagen 1">
          <a:extLst>
            <a:ext uri="{FF2B5EF4-FFF2-40B4-BE49-F238E27FC236}">
              <a16:creationId xmlns:a16="http://schemas.microsoft.com/office/drawing/2014/main" id="{D9483A21-7BA7-4FD2-9CE6-1D18DB8EDE6B}"/>
            </a:ext>
            <a:ext uri="{147F2762-F138-4A5C-976F-8EAC2B608ADB}">
              <a16:predDERef xmlns:a16="http://schemas.microsoft.com/office/drawing/2014/main" pred="{E2BECF7B-C13F-40A5-9184-F7C42A500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28575</xdr:rowOff>
    </xdr:to>
    <xdr:pic>
      <xdr:nvPicPr>
        <xdr:cNvPr id="296" name="Imagen 1">
          <a:extLst>
            <a:ext uri="{FF2B5EF4-FFF2-40B4-BE49-F238E27FC236}">
              <a16:creationId xmlns:a16="http://schemas.microsoft.com/office/drawing/2014/main" id="{4847D9C4-C976-4041-9010-5057F4FEFA68}"/>
            </a:ext>
            <a:ext uri="{147F2762-F138-4A5C-976F-8EAC2B608ADB}">
              <a16:predDERef xmlns:a16="http://schemas.microsoft.com/office/drawing/2014/main" pred="{D9483A21-7BA7-4FD2-9CE6-1D18DB8ED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133350</xdr:colOff>
      <xdr:row>25</xdr:row>
      <xdr:rowOff>28575</xdr:rowOff>
    </xdr:to>
    <xdr:pic>
      <xdr:nvPicPr>
        <xdr:cNvPr id="297" name="Imagen 1">
          <a:extLst>
            <a:ext uri="{FF2B5EF4-FFF2-40B4-BE49-F238E27FC236}">
              <a16:creationId xmlns:a16="http://schemas.microsoft.com/office/drawing/2014/main" id="{DA5AEB5A-7220-491F-BC23-51DB6EA5ECCC}"/>
            </a:ext>
            <a:ext uri="{147F2762-F138-4A5C-976F-8EAC2B608ADB}">
              <a16:predDERef xmlns:a16="http://schemas.microsoft.com/office/drawing/2014/main" pred="{4847D9C4-C976-4041-9010-5057F4FEF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133350</xdr:colOff>
      <xdr:row>16</xdr:row>
      <xdr:rowOff>38100</xdr:rowOff>
    </xdr:to>
    <xdr:pic>
      <xdr:nvPicPr>
        <xdr:cNvPr id="298" name="Imagen 1">
          <a:extLst>
            <a:ext uri="{FF2B5EF4-FFF2-40B4-BE49-F238E27FC236}">
              <a16:creationId xmlns:a16="http://schemas.microsoft.com/office/drawing/2014/main" id="{E48829E5-D4E0-467C-9FD1-19DE94AC62A4}"/>
            </a:ext>
            <a:ext uri="{147F2762-F138-4A5C-976F-8EAC2B608ADB}">
              <a16:predDERef xmlns:a16="http://schemas.microsoft.com/office/drawing/2014/main" pred="{DA5AEB5A-7220-491F-BC23-51DB6EA5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133350</xdr:colOff>
      <xdr:row>17</xdr:row>
      <xdr:rowOff>38100</xdr:rowOff>
    </xdr:to>
    <xdr:pic>
      <xdr:nvPicPr>
        <xdr:cNvPr id="299" name="Imagen 1">
          <a:extLst>
            <a:ext uri="{FF2B5EF4-FFF2-40B4-BE49-F238E27FC236}">
              <a16:creationId xmlns:a16="http://schemas.microsoft.com/office/drawing/2014/main" id="{C95F1F75-91F1-4FE2-BB98-D08343BD010B}"/>
            </a:ext>
            <a:ext uri="{147F2762-F138-4A5C-976F-8EAC2B608ADB}">
              <a16:predDERef xmlns:a16="http://schemas.microsoft.com/office/drawing/2014/main" pred="{E48829E5-D4E0-467C-9FD1-19DE94AC6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133350</xdr:colOff>
      <xdr:row>18</xdr:row>
      <xdr:rowOff>38100</xdr:rowOff>
    </xdr:to>
    <xdr:pic>
      <xdr:nvPicPr>
        <xdr:cNvPr id="300" name="Imagen 1">
          <a:extLst>
            <a:ext uri="{FF2B5EF4-FFF2-40B4-BE49-F238E27FC236}">
              <a16:creationId xmlns:a16="http://schemas.microsoft.com/office/drawing/2014/main" id="{D855B9D2-7FF4-4442-A654-DEFBC82FFE3B}"/>
            </a:ext>
            <a:ext uri="{147F2762-F138-4A5C-976F-8EAC2B608ADB}">
              <a16:predDERef xmlns:a16="http://schemas.microsoft.com/office/drawing/2014/main" pred="{C95F1F75-91F1-4FE2-BB98-D08343BD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133350</xdr:colOff>
      <xdr:row>19</xdr:row>
      <xdr:rowOff>38100</xdr:rowOff>
    </xdr:to>
    <xdr:pic>
      <xdr:nvPicPr>
        <xdr:cNvPr id="301" name="Imagen 1">
          <a:extLst>
            <a:ext uri="{FF2B5EF4-FFF2-40B4-BE49-F238E27FC236}">
              <a16:creationId xmlns:a16="http://schemas.microsoft.com/office/drawing/2014/main" id="{8A166BA9-B900-4ED9-B48C-B78F06E9C389}"/>
            </a:ext>
            <a:ext uri="{147F2762-F138-4A5C-976F-8EAC2B608ADB}">
              <a16:predDERef xmlns:a16="http://schemas.microsoft.com/office/drawing/2014/main" pred="{D855B9D2-7FF4-4442-A654-DEFBC82FF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133350</xdr:colOff>
      <xdr:row>20</xdr:row>
      <xdr:rowOff>38100</xdr:rowOff>
    </xdr:to>
    <xdr:pic>
      <xdr:nvPicPr>
        <xdr:cNvPr id="302" name="Imagen 1">
          <a:extLst>
            <a:ext uri="{FF2B5EF4-FFF2-40B4-BE49-F238E27FC236}">
              <a16:creationId xmlns:a16="http://schemas.microsoft.com/office/drawing/2014/main" id="{F337E936-81C3-41F2-8A05-F41034492041}"/>
            </a:ext>
            <a:ext uri="{147F2762-F138-4A5C-976F-8EAC2B608ADB}">
              <a16:predDERef xmlns:a16="http://schemas.microsoft.com/office/drawing/2014/main" pred="{8A166BA9-B900-4ED9-B48C-B78F06E9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133350</xdr:colOff>
      <xdr:row>21</xdr:row>
      <xdr:rowOff>38100</xdr:rowOff>
    </xdr:to>
    <xdr:pic>
      <xdr:nvPicPr>
        <xdr:cNvPr id="303" name="Imagen 1">
          <a:extLst>
            <a:ext uri="{FF2B5EF4-FFF2-40B4-BE49-F238E27FC236}">
              <a16:creationId xmlns:a16="http://schemas.microsoft.com/office/drawing/2014/main" id="{41464CD3-9B10-4D27-9804-BDBB1B9049F9}"/>
            </a:ext>
            <a:ext uri="{147F2762-F138-4A5C-976F-8EAC2B608ADB}">
              <a16:predDERef xmlns:a16="http://schemas.microsoft.com/office/drawing/2014/main" pred="{F337E936-81C3-41F2-8A05-F4103449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133350</xdr:colOff>
      <xdr:row>22</xdr:row>
      <xdr:rowOff>38100</xdr:rowOff>
    </xdr:to>
    <xdr:pic>
      <xdr:nvPicPr>
        <xdr:cNvPr id="304" name="Imagen 1">
          <a:extLst>
            <a:ext uri="{FF2B5EF4-FFF2-40B4-BE49-F238E27FC236}">
              <a16:creationId xmlns:a16="http://schemas.microsoft.com/office/drawing/2014/main" id="{50C18DB6-25C9-4099-BF47-AAF70347837C}"/>
            </a:ext>
            <a:ext uri="{147F2762-F138-4A5C-976F-8EAC2B608ADB}">
              <a16:predDERef xmlns:a16="http://schemas.microsoft.com/office/drawing/2014/main" pred="{41464CD3-9B10-4D27-9804-BDBB1B90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133350</xdr:colOff>
      <xdr:row>23</xdr:row>
      <xdr:rowOff>28575</xdr:rowOff>
    </xdr:to>
    <xdr:pic>
      <xdr:nvPicPr>
        <xdr:cNvPr id="305" name="Imagen 1">
          <a:extLst>
            <a:ext uri="{FF2B5EF4-FFF2-40B4-BE49-F238E27FC236}">
              <a16:creationId xmlns:a16="http://schemas.microsoft.com/office/drawing/2014/main" id="{B476A291-6C6B-43BC-8141-28252EB86D97}"/>
            </a:ext>
            <a:ext uri="{147F2762-F138-4A5C-976F-8EAC2B608ADB}">
              <a16:predDERef xmlns:a16="http://schemas.microsoft.com/office/drawing/2014/main" pred="{50C18DB6-25C9-4099-BF47-AAF70347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133350</xdr:colOff>
      <xdr:row>24</xdr:row>
      <xdr:rowOff>28575</xdr:rowOff>
    </xdr:to>
    <xdr:pic>
      <xdr:nvPicPr>
        <xdr:cNvPr id="306" name="Imagen 1">
          <a:extLst>
            <a:ext uri="{FF2B5EF4-FFF2-40B4-BE49-F238E27FC236}">
              <a16:creationId xmlns:a16="http://schemas.microsoft.com/office/drawing/2014/main" id="{42F4E11E-0AE1-4621-81F9-DF16B242FAC7}"/>
            </a:ext>
            <a:ext uri="{147F2762-F138-4A5C-976F-8EAC2B608ADB}">
              <a16:predDERef xmlns:a16="http://schemas.microsoft.com/office/drawing/2014/main" pred="{B476A291-6C6B-43BC-8141-28252EB86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133350</xdr:colOff>
      <xdr:row>25</xdr:row>
      <xdr:rowOff>28575</xdr:rowOff>
    </xdr:to>
    <xdr:pic>
      <xdr:nvPicPr>
        <xdr:cNvPr id="307" name="Imagen 1">
          <a:extLst>
            <a:ext uri="{FF2B5EF4-FFF2-40B4-BE49-F238E27FC236}">
              <a16:creationId xmlns:a16="http://schemas.microsoft.com/office/drawing/2014/main" id="{2EAE5980-5CC1-43CE-A68C-6FC39C08196E}"/>
            </a:ext>
            <a:ext uri="{147F2762-F138-4A5C-976F-8EAC2B608ADB}">
              <a16:predDERef xmlns:a16="http://schemas.microsoft.com/office/drawing/2014/main" pred="{42F4E11E-0AE1-4621-81F9-DF16B242F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133350</xdr:colOff>
      <xdr:row>16</xdr:row>
      <xdr:rowOff>38100</xdr:rowOff>
    </xdr:to>
    <xdr:pic>
      <xdr:nvPicPr>
        <xdr:cNvPr id="308" name="Imagen 1">
          <a:extLst>
            <a:ext uri="{FF2B5EF4-FFF2-40B4-BE49-F238E27FC236}">
              <a16:creationId xmlns:a16="http://schemas.microsoft.com/office/drawing/2014/main" id="{CAE77823-1BDC-4825-84B8-77B397012300}"/>
            </a:ext>
            <a:ext uri="{147F2762-F138-4A5C-976F-8EAC2B608ADB}">
              <a16:predDERef xmlns:a16="http://schemas.microsoft.com/office/drawing/2014/main" pred="{2EAE5980-5CC1-43CE-A68C-6FC39C08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133350</xdr:colOff>
      <xdr:row>17</xdr:row>
      <xdr:rowOff>38100</xdr:rowOff>
    </xdr:to>
    <xdr:pic>
      <xdr:nvPicPr>
        <xdr:cNvPr id="309" name="Imagen 1">
          <a:extLst>
            <a:ext uri="{FF2B5EF4-FFF2-40B4-BE49-F238E27FC236}">
              <a16:creationId xmlns:a16="http://schemas.microsoft.com/office/drawing/2014/main" id="{AABF6F47-EE49-463F-AB69-2108DE7959D6}"/>
            </a:ext>
            <a:ext uri="{147F2762-F138-4A5C-976F-8EAC2B608ADB}">
              <a16:predDERef xmlns:a16="http://schemas.microsoft.com/office/drawing/2014/main" pred="{CAE77823-1BDC-4825-84B8-77B39701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133350</xdr:colOff>
      <xdr:row>18</xdr:row>
      <xdr:rowOff>38100</xdr:rowOff>
    </xdr:to>
    <xdr:pic>
      <xdr:nvPicPr>
        <xdr:cNvPr id="310" name="Imagen 1">
          <a:extLst>
            <a:ext uri="{FF2B5EF4-FFF2-40B4-BE49-F238E27FC236}">
              <a16:creationId xmlns:a16="http://schemas.microsoft.com/office/drawing/2014/main" id="{48ABDB8D-DF6F-4763-936B-FC23F729F841}"/>
            </a:ext>
            <a:ext uri="{147F2762-F138-4A5C-976F-8EAC2B608ADB}">
              <a16:predDERef xmlns:a16="http://schemas.microsoft.com/office/drawing/2014/main" pred="{AABF6F47-EE49-463F-AB69-2108DE79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133350</xdr:colOff>
      <xdr:row>19</xdr:row>
      <xdr:rowOff>38100</xdr:rowOff>
    </xdr:to>
    <xdr:pic>
      <xdr:nvPicPr>
        <xdr:cNvPr id="311" name="Imagen 1">
          <a:extLst>
            <a:ext uri="{FF2B5EF4-FFF2-40B4-BE49-F238E27FC236}">
              <a16:creationId xmlns:a16="http://schemas.microsoft.com/office/drawing/2014/main" id="{2E2D2F24-2EE4-4FC2-B491-AB1A00D0F981}"/>
            </a:ext>
            <a:ext uri="{147F2762-F138-4A5C-976F-8EAC2B608ADB}">
              <a16:predDERef xmlns:a16="http://schemas.microsoft.com/office/drawing/2014/main" pred="{48ABDB8D-DF6F-4763-936B-FC23F729F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133350</xdr:colOff>
      <xdr:row>20</xdr:row>
      <xdr:rowOff>38100</xdr:rowOff>
    </xdr:to>
    <xdr:pic>
      <xdr:nvPicPr>
        <xdr:cNvPr id="312" name="Imagen 1">
          <a:extLst>
            <a:ext uri="{FF2B5EF4-FFF2-40B4-BE49-F238E27FC236}">
              <a16:creationId xmlns:a16="http://schemas.microsoft.com/office/drawing/2014/main" id="{54A3B862-C048-4272-AC0F-CF1B1203FB6C}"/>
            </a:ext>
            <a:ext uri="{147F2762-F138-4A5C-976F-8EAC2B608ADB}">
              <a16:predDERef xmlns:a16="http://schemas.microsoft.com/office/drawing/2014/main" pred="{2E2D2F24-2EE4-4FC2-B491-AB1A00D0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133350</xdr:colOff>
      <xdr:row>21</xdr:row>
      <xdr:rowOff>38100</xdr:rowOff>
    </xdr:to>
    <xdr:pic>
      <xdr:nvPicPr>
        <xdr:cNvPr id="313" name="Imagen 1">
          <a:extLst>
            <a:ext uri="{FF2B5EF4-FFF2-40B4-BE49-F238E27FC236}">
              <a16:creationId xmlns:a16="http://schemas.microsoft.com/office/drawing/2014/main" id="{CDA8E331-CE89-4C63-9776-41C7127835B8}"/>
            </a:ext>
            <a:ext uri="{147F2762-F138-4A5C-976F-8EAC2B608ADB}">
              <a16:predDERef xmlns:a16="http://schemas.microsoft.com/office/drawing/2014/main" pred="{54A3B862-C048-4272-AC0F-CF1B1203F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133350</xdr:colOff>
      <xdr:row>22</xdr:row>
      <xdr:rowOff>38100</xdr:rowOff>
    </xdr:to>
    <xdr:pic>
      <xdr:nvPicPr>
        <xdr:cNvPr id="314" name="Imagen 1">
          <a:extLst>
            <a:ext uri="{FF2B5EF4-FFF2-40B4-BE49-F238E27FC236}">
              <a16:creationId xmlns:a16="http://schemas.microsoft.com/office/drawing/2014/main" id="{477E8BA2-AF05-4C65-8C8F-0B0836682EC7}"/>
            </a:ext>
            <a:ext uri="{147F2762-F138-4A5C-976F-8EAC2B608ADB}">
              <a16:predDERef xmlns:a16="http://schemas.microsoft.com/office/drawing/2014/main" pred="{CDA8E331-CE89-4C63-9776-41C712783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133350</xdr:colOff>
      <xdr:row>23</xdr:row>
      <xdr:rowOff>28575</xdr:rowOff>
    </xdr:to>
    <xdr:pic>
      <xdr:nvPicPr>
        <xdr:cNvPr id="315" name="Imagen 1">
          <a:extLst>
            <a:ext uri="{FF2B5EF4-FFF2-40B4-BE49-F238E27FC236}">
              <a16:creationId xmlns:a16="http://schemas.microsoft.com/office/drawing/2014/main" id="{6936C1F6-1234-4002-9DFA-540A08B8D98F}"/>
            </a:ext>
            <a:ext uri="{147F2762-F138-4A5C-976F-8EAC2B608ADB}">
              <a16:predDERef xmlns:a16="http://schemas.microsoft.com/office/drawing/2014/main" pred="{477E8BA2-AF05-4C65-8C8F-0B083668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133350</xdr:colOff>
      <xdr:row>24</xdr:row>
      <xdr:rowOff>28575</xdr:rowOff>
    </xdr:to>
    <xdr:pic>
      <xdr:nvPicPr>
        <xdr:cNvPr id="316" name="Imagen 1">
          <a:extLst>
            <a:ext uri="{FF2B5EF4-FFF2-40B4-BE49-F238E27FC236}">
              <a16:creationId xmlns:a16="http://schemas.microsoft.com/office/drawing/2014/main" id="{FB0A923D-9384-4A08-BD87-00D16EF95EFB}"/>
            </a:ext>
            <a:ext uri="{147F2762-F138-4A5C-976F-8EAC2B608ADB}">
              <a16:predDERef xmlns:a16="http://schemas.microsoft.com/office/drawing/2014/main" pred="{6936C1F6-1234-4002-9DFA-540A08B8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133350</xdr:colOff>
      <xdr:row>25</xdr:row>
      <xdr:rowOff>28575</xdr:rowOff>
    </xdr:to>
    <xdr:pic>
      <xdr:nvPicPr>
        <xdr:cNvPr id="317" name="Imagen 1">
          <a:extLst>
            <a:ext uri="{FF2B5EF4-FFF2-40B4-BE49-F238E27FC236}">
              <a16:creationId xmlns:a16="http://schemas.microsoft.com/office/drawing/2014/main" id="{46C2989E-16B3-42F9-8C83-35441DFDD81D}"/>
            </a:ext>
            <a:ext uri="{147F2762-F138-4A5C-976F-8EAC2B608ADB}">
              <a16:predDERef xmlns:a16="http://schemas.microsoft.com/office/drawing/2014/main" pred="{FB0A923D-9384-4A08-BD87-00D16EF95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133350</xdr:colOff>
      <xdr:row>16</xdr:row>
      <xdr:rowOff>38100</xdr:rowOff>
    </xdr:to>
    <xdr:pic>
      <xdr:nvPicPr>
        <xdr:cNvPr id="318" name="Imagen 1">
          <a:extLst>
            <a:ext uri="{FF2B5EF4-FFF2-40B4-BE49-F238E27FC236}">
              <a16:creationId xmlns:a16="http://schemas.microsoft.com/office/drawing/2014/main" id="{DB5A8F6F-42ED-4F9D-9CD1-6B65EEA9839F}"/>
            </a:ext>
            <a:ext uri="{147F2762-F138-4A5C-976F-8EAC2B608ADB}">
              <a16:predDERef xmlns:a16="http://schemas.microsoft.com/office/drawing/2014/main" pred="{46C2989E-16B3-42F9-8C83-35441DFDD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133350</xdr:colOff>
      <xdr:row>17</xdr:row>
      <xdr:rowOff>38100</xdr:rowOff>
    </xdr:to>
    <xdr:pic>
      <xdr:nvPicPr>
        <xdr:cNvPr id="319" name="Imagen 1">
          <a:extLst>
            <a:ext uri="{FF2B5EF4-FFF2-40B4-BE49-F238E27FC236}">
              <a16:creationId xmlns:a16="http://schemas.microsoft.com/office/drawing/2014/main" id="{1828E48D-35E5-40CA-80A5-906DD9E001E8}"/>
            </a:ext>
            <a:ext uri="{147F2762-F138-4A5C-976F-8EAC2B608ADB}">
              <a16:predDERef xmlns:a16="http://schemas.microsoft.com/office/drawing/2014/main" pred="{DB5A8F6F-42ED-4F9D-9CD1-6B65EEA9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133350</xdr:colOff>
      <xdr:row>18</xdr:row>
      <xdr:rowOff>38100</xdr:rowOff>
    </xdr:to>
    <xdr:pic>
      <xdr:nvPicPr>
        <xdr:cNvPr id="320" name="Imagen 1">
          <a:extLst>
            <a:ext uri="{FF2B5EF4-FFF2-40B4-BE49-F238E27FC236}">
              <a16:creationId xmlns:a16="http://schemas.microsoft.com/office/drawing/2014/main" id="{0FED2AD8-B236-465E-9C97-0C4358191528}"/>
            </a:ext>
            <a:ext uri="{147F2762-F138-4A5C-976F-8EAC2B608ADB}">
              <a16:predDERef xmlns:a16="http://schemas.microsoft.com/office/drawing/2014/main" pred="{1828E48D-35E5-40CA-80A5-906DD9E00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133350</xdr:colOff>
      <xdr:row>19</xdr:row>
      <xdr:rowOff>38100</xdr:rowOff>
    </xdr:to>
    <xdr:pic>
      <xdr:nvPicPr>
        <xdr:cNvPr id="321" name="Imagen 1">
          <a:extLst>
            <a:ext uri="{FF2B5EF4-FFF2-40B4-BE49-F238E27FC236}">
              <a16:creationId xmlns:a16="http://schemas.microsoft.com/office/drawing/2014/main" id="{59278D58-8A81-471E-AD80-B1A7A5BB597B}"/>
            </a:ext>
            <a:ext uri="{147F2762-F138-4A5C-976F-8EAC2B608ADB}">
              <a16:predDERef xmlns:a16="http://schemas.microsoft.com/office/drawing/2014/main" pred="{0FED2AD8-B236-465E-9C97-0C435819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133350</xdr:colOff>
      <xdr:row>20</xdr:row>
      <xdr:rowOff>38100</xdr:rowOff>
    </xdr:to>
    <xdr:pic>
      <xdr:nvPicPr>
        <xdr:cNvPr id="322" name="Imagen 1">
          <a:extLst>
            <a:ext uri="{FF2B5EF4-FFF2-40B4-BE49-F238E27FC236}">
              <a16:creationId xmlns:a16="http://schemas.microsoft.com/office/drawing/2014/main" id="{8D85E166-3A03-4A41-9DEA-F077B6074FC8}"/>
            </a:ext>
            <a:ext uri="{147F2762-F138-4A5C-976F-8EAC2B608ADB}">
              <a16:predDERef xmlns:a16="http://schemas.microsoft.com/office/drawing/2014/main" pred="{59278D58-8A81-471E-AD80-B1A7A5BB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133350</xdr:colOff>
      <xdr:row>21</xdr:row>
      <xdr:rowOff>38100</xdr:rowOff>
    </xdr:to>
    <xdr:pic>
      <xdr:nvPicPr>
        <xdr:cNvPr id="323" name="Imagen 1">
          <a:extLst>
            <a:ext uri="{FF2B5EF4-FFF2-40B4-BE49-F238E27FC236}">
              <a16:creationId xmlns:a16="http://schemas.microsoft.com/office/drawing/2014/main" id="{AD725735-5962-42A3-9EF8-C3790F83F761}"/>
            </a:ext>
            <a:ext uri="{147F2762-F138-4A5C-976F-8EAC2B608ADB}">
              <a16:predDERef xmlns:a16="http://schemas.microsoft.com/office/drawing/2014/main" pred="{8D85E166-3A03-4A41-9DEA-F077B607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133350</xdr:colOff>
      <xdr:row>22</xdr:row>
      <xdr:rowOff>38100</xdr:rowOff>
    </xdr:to>
    <xdr:pic>
      <xdr:nvPicPr>
        <xdr:cNvPr id="324" name="Imagen 1">
          <a:extLst>
            <a:ext uri="{FF2B5EF4-FFF2-40B4-BE49-F238E27FC236}">
              <a16:creationId xmlns:a16="http://schemas.microsoft.com/office/drawing/2014/main" id="{7AC226F3-438B-460C-8AAD-F00AF533BD21}"/>
            </a:ext>
            <a:ext uri="{147F2762-F138-4A5C-976F-8EAC2B608ADB}">
              <a16:predDERef xmlns:a16="http://schemas.microsoft.com/office/drawing/2014/main" pred="{AD725735-5962-42A3-9EF8-C3790F83F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133350</xdr:colOff>
      <xdr:row>23</xdr:row>
      <xdr:rowOff>28575</xdr:rowOff>
    </xdr:to>
    <xdr:pic>
      <xdr:nvPicPr>
        <xdr:cNvPr id="325" name="Imagen 1">
          <a:extLst>
            <a:ext uri="{FF2B5EF4-FFF2-40B4-BE49-F238E27FC236}">
              <a16:creationId xmlns:a16="http://schemas.microsoft.com/office/drawing/2014/main" id="{94566381-63F8-42C5-BA1E-03F73E337253}"/>
            </a:ext>
            <a:ext uri="{147F2762-F138-4A5C-976F-8EAC2B608ADB}">
              <a16:predDERef xmlns:a16="http://schemas.microsoft.com/office/drawing/2014/main" pred="{7AC226F3-438B-460C-8AAD-F00AF533B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133350</xdr:colOff>
      <xdr:row>24</xdr:row>
      <xdr:rowOff>28575</xdr:rowOff>
    </xdr:to>
    <xdr:pic>
      <xdr:nvPicPr>
        <xdr:cNvPr id="326" name="Imagen 1">
          <a:extLst>
            <a:ext uri="{FF2B5EF4-FFF2-40B4-BE49-F238E27FC236}">
              <a16:creationId xmlns:a16="http://schemas.microsoft.com/office/drawing/2014/main" id="{E9911E33-8BCB-4E97-9524-36F734568FDF}"/>
            </a:ext>
            <a:ext uri="{147F2762-F138-4A5C-976F-8EAC2B608ADB}">
              <a16:predDERef xmlns:a16="http://schemas.microsoft.com/office/drawing/2014/main" pred="{94566381-63F8-42C5-BA1E-03F73E33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133350</xdr:colOff>
      <xdr:row>25</xdr:row>
      <xdr:rowOff>28575</xdr:rowOff>
    </xdr:to>
    <xdr:pic>
      <xdr:nvPicPr>
        <xdr:cNvPr id="327" name="Imagen 1">
          <a:extLst>
            <a:ext uri="{FF2B5EF4-FFF2-40B4-BE49-F238E27FC236}">
              <a16:creationId xmlns:a16="http://schemas.microsoft.com/office/drawing/2014/main" id="{F7B54ED5-50D5-4BA4-B0E4-C5ED7D142FFA}"/>
            </a:ext>
            <a:ext uri="{147F2762-F138-4A5C-976F-8EAC2B608ADB}">
              <a16:predDERef xmlns:a16="http://schemas.microsoft.com/office/drawing/2014/main" pred="{E9911E33-8BCB-4E97-9524-36F73456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133350</xdr:colOff>
      <xdr:row>16</xdr:row>
      <xdr:rowOff>38100</xdr:rowOff>
    </xdr:to>
    <xdr:pic>
      <xdr:nvPicPr>
        <xdr:cNvPr id="328" name="Imagen 1">
          <a:extLst>
            <a:ext uri="{FF2B5EF4-FFF2-40B4-BE49-F238E27FC236}">
              <a16:creationId xmlns:a16="http://schemas.microsoft.com/office/drawing/2014/main" id="{249C243A-F392-4B84-854A-C5ABC03AEFAB}"/>
            </a:ext>
            <a:ext uri="{147F2762-F138-4A5C-976F-8EAC2B608ADB}">
              <a16:predDERef xmlns:a16="http://schemas.microsoft.com/office/drawing/2014/main" pred="{F7B54ED5-50D5-4BA4-B0E4-C5ED7D142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329" name="Imagen 1">
          <a:extLst>
            <a:ext uri="{FF2B5EF4-FFF2-40B4-BE49-F238E27FC236}">
              <a16:creationId xmlns:a16="http://schemas.microsoft.com/office/drawing/2014/main" id="{2E7D5C6B-68D5-4577-9274-CB8715EDF009}"/>
            </a:ext>
            <a:ext uri="{147F2762-F138-4A5C-976F-8EAC2B608ADB}">
              <a16:predDERef xmlns:a16="http://schemas.microsoft.com/office/drawing/2014/main" pred="{249C243A-F392-4B84-854A-C5ABC03AE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330" name="Imagen 1">
          <a:extLst>
            <a:ext uri="{FF2B5EF4-FFF2-40B4-BE49-F238E27FC236}">
              <a16:creationId xmlns:a16="http://schemas.microsoft.com/office/drawing/2014/main" id="{261F4244-926B-4E12-B74F-96E68D2A7540}"/>
            </a:ext>
            <a:ext uri="{147F2762-F138-4A5C-976F-8EAC2B608ADB}">
              <a16:predDERef xmlns:a16="http://schemas.microsoft.com/office/drawing/2014/main" pred="{2E7D5C6B-68D5-4577-9274-CB8715ED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331" name="Imagen 1">
          <a:extLst>
            <a:ext uri="{FF2B5EF4-FFF2-40B4-BE49-F238E27FC236}">
              <a16:creationId xmlns:a16="http://schemas.microsoft.com/office/drawing/2014/main" id="{62AB7CF9-4FB5-48CA-919C-A2779BA5E255}"/>
            </a:ext>
            <a:ext uri="{147F2762-F138-4A5C-976F-8EAC2B608ADB}">
              <a16:predDERef xmlns:a16="http://schemas.microsoft.com/office/drawing/2014/main" pred="{261F4244-926B-4E12-B74F-96E68D2A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332" name="Imagen 1">
          <a:extLst>
            <a:ext uri="{FF2B5EF4-FFF2-40B4-BE49-F238E27FC236}">
              <a16:creationId xmlns:a16="http://schemas.microsoft.com/office/drawing/2014/main" id="{1EB36D76-9CCD-4D00-9A4D-9C6E3ED4055F}"/>
            </a:ext>
            <a:ext uri="{147F2762-F138-4A5C-976F-8EAC2B608ADB}">
              <a16:predDERef xmlns:a16="http://schemas.microsoft.com/office/drawing/2014/main" pred="{62AB7CF9-4FB5-48CA-919C-A2779BA5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333" name="Imagen 1">
          <a:extLst>
            <a:ext uri="{FF2B5EF4-FFF2-40B4-BE49-F238E27FC236}">
              <a16:creationId xmlns:a16="http://schemas.microsoft.com/office/drawing/2014/main" id="{FA7F99C9-55AA-48AE-85BC-32428A89ED04}"/>
            </a:ext>
            <a:ext uri="{147F2762-F138-4A5C-976F-8EAC2B608ADB}">
              <a16:predDERef xmlns:a16="http://schemas.microsoft.com/office/drawing/2014/main" pred="{1EB36D76-9CCD-4D00-9A4D-9C6E3ED4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334" name="Imagen 1">
          <a:extLst>
            <a:ext uri="{FF2B5EF4-FFF2-40B4-BE49-F238E27FC236}">
              <a16:creationId xmlns:a16="http://schemas.microsoft.com/office/drawing/2014/main" id="{A50B0307-9F8A-4F0B-89EE-A4A7741E23DA}"/>
            </a:ext>
            <a:ext uri="{147F2762-F138-4A5C-976F-8EAC2B608ADB}">
              <a16:predDERef xmlns:a16="http://schemas.microsoft.com/office/drawing/2014/main" pred="{FA7F99C9-55AA-48AE-85BC-32428A89E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335" name="Imagen 1">
          <a:extLst>
            <a:ext uri="{FF2B5EF4-FFF2-40B4-BE49-F238E27FC236}">
              <a16:creationId xmlns:a16="http://schemas.microsoft.com/office/drawing/2014/main" id="{055962BD-91DF-4BD5-96F6-0801E3169933}"/>
            </a:ext>
            <a:ext uri="{147F2762-F138-4A5C-976F-8EAC2B608ADB}">
              <a16:predDERef xmlns:a16="http://schemas.microsoft.com/office/drawing/2014/main" pred="{A50B0307-9F8A-4F0B-89EE-A4A7741E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336" name="Imagen 1">
          <a:extLst>
            <a:ext uri="{FF2B5EF4-FFF2-40B4-BE49-F238E27FC236}">
              <a16:creationId xmlns:a16="http://schemas.microsoft.com/office/drawing/2014/main" id="{8FFD3EB8-10D9-4F1B-A6DA-56F502E8087F}"/>
            </a:ext>
            <a:ext uri="{147F2762-F138-4A5C-976F-8EAC2B608ADB}">
              <a16:predDERef xmlns:a16="http://schemas.microsoft.com/office/drawing/2014/main" pred="{055962BD-91DF-4BD5-96F6-0801E3169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337" name="Imagen 1">
          <a:extLst>
            <a:ext uri="{FF2B5EF4-FFF2-40B4-BE49-F238E27FC236}">
              <a16:creationId xmlns:a16="http://schemas.microsoft.com/office/drawing/2014/main" id="{B63D7663-C857-469E-8527-C465A1B7D0E3}"/>
            </a:ext>
            <a:ext uri="{147F2762-F138-4A5C-976F-8EAC2B608ADB}">
              <a16:predDERef xmlns:a16="http://schemas.microsoft.com/office/drawing/2014/main" pred="{8FFD3EB8-10D9-4F1B-A6DA-56F502E8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133350</xdr:colOff>
      <xdr:row>16</xdr:row>
      <xdr:rowOff>38100</xdr:rowOff>
    </xdr:to>
    <xdr:pic>
      <xdr:nvPicPr>
        <xdr:cNvPr id="338" name="Imagen 1">
          <a:extLst>
            <a:ext uri="{FF2B5EF4-FFF2-40B4-BE49-F238E27FC236}">
              <a16:creationId xmlns:a16="http://schemas.microsoft.com/office/drawing/2014/main" id="{562ECDB5-A325-4002-A638-1920B39125E7}"/>
            </a:ext>
            <a:ext uri="{147F2762-F138-4A5C-976F-8EAC2B608ADB}">
              <a16:predDERef xmlns:a16="http://schemas.microsoft.com/office/drawing/2014/main" pred="{B63D7663-C857-469E-8527-C465A1B7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339" name="Imagen 1">
          <a:extLst>
            <a:ext uri="{FF2B5EF4-FFF2-40B4-BE49-F238E27FC236}">
              <a16:creationId xmlns:a16="http://schemas.microsoft.com/office/drawing/2014/main" id="{DDAB0EB8-5364-4A56-95AD-33F31DD7E79D}"/>
            </a:ext>
            <a:ext uri="{147F2762-F138-4A5C-976F-8EAC2B608ADB}">
              <a16:predDERef xmlns:a16="http://schemas.microsoft.com/office/drawing/2014/main" pred="{562ECDB5-A325-4002-A638-1920B391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340" name="Imagen 1">
          <a:extLst>
            <a:ext uri="{FF2B5EF4-FFF2-40B4-BE49-F238E27FC236}">
              <a16:creationId xmlns:a16="http://schemas.microsoft.com/office/drawing/2014/main" id="{CC5B8F7E-00C0-4316-960B-CA20EA03383B}"/>
            </a:ext>
            <a:ext uri="{147F2762-F138-4A5C-976F-8EAC2B608ADB}">
              <a16:predDERef xmlns:a16="http://schemas.microsoft.com/office/drawing/2014/main" pred="{DDAB0EB8-5364-4A56-95AD-33F31DD7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341" name="Imagen 1">
          <a:extLst>
            <a:ext uri="{FF2B5EF4-FFF2-40B4-BE49-F238E27FC236}">
              <a16:creationId xmlns:a16="http://schemas.microsoft.com/office/drawing/2014/main" id="{34392486-C14B-495E-ADA8-78F85E67B44F}"/>
            </a:ext>
            <a:ext uri="{147F2762-F138-4A5C-976F-8EAC2B608ADB}">
              <a16:predDERef xmlns:a16="http://schemas.microsoft.com/office/drawing/2014/main" pred="{CC5B8F7E-00C0-4316-960B-CA20EA03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342" name="Imagen 1">
          <a:extLst>
            <a:ext uri="{FF2B5EF4-FFF2-40B4-BE49-F238E27FC236}">
              <a16:creationId xmlns:a16="http://schemas.microsoft.com/office/drawing/2014/main" id="{C0A79ED6-70D2-45C3-8458-0FAE67823380}"/>
            </a:ext>
            <a:ext uri="{147F2762-F138-4A5C-976F-8EAC2B608ADB}">
              <a16:predDERef xmlns:a16="http://schemas.microsoft.com/office/drawing/2014/main" pred="{34392486-C14B-495E-ADA8-78F85E67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343" name="Imagen 1">
          <a:extLst>
            <a:ext uri="{FF2B5EF4-FFF2-40B4-BE49-F238E27FC236}">
              <a16:creationId xmlns:a16="http://schemas.microsoft.com/office/drawing/2014/main" id="{7116FD01-E947-4306-986D-335F246B40BE}"/>
            </a:ext>
            <a:ext uri="{147F2762-F138-4A5C-976F-8EAC2B608ADB}">
              <a16:predDERef xmlns:a16="http://schemas.microsoft.com/office/drawing/2014/main" pred="{C0A79ED6-70D2-45C3-8458-0FAE6782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344" name="Imagen 1">
          <a:extLst>
            <a:ext uri="{FF2B5EF4-FFF2-40B4-BE49-F238E27FC236}">
              <a16:creationId xmlns:a16="http://schemas.microsoft.com/office/drawing/2014/main" id="{C94746A5-07AD-4D86-BE09-97F65C988CD1}"/>
            </a:ext>
            <a:ext uri="{147F2762-F138-4A5C-976F-8EAC2B608ADB}">
              <a16:predDERef xmlns:a16="http://schemas.microsoft.com/office/drawing/2014/main" pred="{7116FD01-E947-4306-986D-335F246B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345" name="Imagen 1">
          <a:extLst>
            <a:ext uri="{FF2B5EF4-FFF2-40B4-BE49-F238E27FC236}">
              <a16:creationId xmlns:a16="http://schemas.microsoft.com/office/drawing/2014/main" id="{38169C36-129D-4C08-A3B4-CF9E146C84BB}"/>
            </a:ext>
            <a:ext uri="{147F2762-F138-4A5C-976F-8EAC2B608ADB}">
              <a16:predDERef xmlns:a16="http://schemas.microsoft.com/office/drawing/2014/main" pred="{C94746A5-07AD-4D86-BE09-97F65C988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346" name="Imagen 1">
          <a:extLst>
            <a:ext uri="{FF2B5EF4-FFF2-40B4-BE49-F238E27FC236}">
              <a16:creationId xmlns:a16="http://schemas.microsoft.com/office/drawing/2014/main" id="{A6028672-51C5-4CC9-B51F-AA6D93F77B40}"/>
            </a:ext>
            <a:ext uri="{147F2762-F138-4A5C-976F-8EAC2B608ADB}">
              <a16:predDERef xmlns:a16="http://schemas.microsoft.com/office/drawing/2014/main" pred="{38169C36-129D-4C08-A3B4-CF9E146C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347" name="Imagen 1">
          <a:extLst>
            <a:ext uri="{FF2B5EF4-FFF2-40B4-BE49-F238E27FC236}">
              <a16:creationId xmlns:a16="http://schemas.microsoft.com/office/drawing/2014/main" id="{43EB4048-FBF3-48D8-B73B-59CDBEFCBD40}"/>
            </a:ext>
            <a:ext uri="{147F2762-F138-4A5C-976F-8EAC2B608ADB}">
              <a16:predDERef xmlns:a16="http://schemas.microsoft.com/office/drawing/2014/main" pred="{A6028672-51C5-4CC9-B51F-AA6D93F7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133350</xdr:colOff>
      <xdr:row>16</xdr:row>
      <xdr:rowOff>38100</xdr:rowOff>
    </xdr:to>
    <xdr:pic>
      <xdr:nvPicPr>
        <xdr:cNvPr id="348" name="Imagen 1">
          <a:extLst>
            <a:ext uri="{FF2B5EF4-FFF2-40B4-BE49-F238E27FC236}">
              <a16:creationId xmlns:a16="http://schemas.microsoft.com/office/drawing/2014/main" id="{EB6B5BA1-CF71-4D46-A5E3-9E4F756FC46F}"/>
            </a:ext>
            <a:ext uri="{147F2762-F138-4A5C-976F-8EAC2B608ADB}">
              <a16:predDERef xmlns:a16="http://schemas.microsoft.com/office/drawing/2014/main" pred="{43EB4048-FBF3-48D8-B73B-59CDBEFC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133350</xdr:colOff>
      <xdr:row>16</xdr:row>
      <xdr:rowOff>38100</xdr:rowOff>
    </xdr:to>
    <xdr:pic>
      <xdr:nvPicPr>
        <xdr:cNvPr id="349" name="Imagen 1">
          <a:extLst>
            <a:ext uri="{FF2B5EF4-FFF2-40B4-BE49-F238E27FC236}">
              <a16:creationId xmlns:a16="http://schemas.microsoft.com/office/drawing/2014/main" id="{037C0C07-2806-48E1-B3D7-2CC4BFEE75F7}"/>
            </a:ext>
            <a:ext uri="{147F2762-F138-4A5C-976F-8EAC2B608ADB}">
              <a16:predDERef xmlns:a16="http://schemas.microsoft.com/office/drawing/2014/main" pred="{EB6B5BA1-CF71-4D46-A5E3-9E4F756FC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133350</xdr:colOff>
      <xdr:row>17</xdr:row>
      <xdr:rowOff>38100</xdr:rowOff>
    </xdr:to>
    <xdr:pic>
      <xdr:nvPicPr>
        <xdr:cNvPr id="350" name="Imagen 1">
          <a:extLst>
            <a:ext uri="{FF2B5EF4-FFF2-40B4-BE49-F238E27FC236}">
              <a16:creationId xmlns:a16="http://schemas.microsoft.com/office/drawing/2014/main" id="{B245ECE1-99BD-4F77-BAD4-6F10A1C3CDC4}"/>
            </a:ext>
            <a:ext uri="{147F2762-F138-4A5C-976F-8EAC2B608ADB}">
              <a16:predDERef xmlns:a16="http://schemas.microsoft.com/office/drawing/2014/main" pred="{037C0C07-2806-48E1-B3D7-2CC4BFEE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351" name="Imagen 1">
          <a:extLst>
            <a:ext uri="{FF2B5EF4-FFF2-40B4-BE49-F238E27FC236}">
              <a16:creationId xmlns:a16="http://schemas.microsoft.com/office/drawing/2014/main" id="{42A04787-F237-4AE6-AF07-E777F27DBBE3}"/>
            </a:ext>
            <a:ext uri="{147F2762-F138-4A5C-976F-8EAC2B608ADB}">
              <a16:predDERef xmlns:a16="http://schemas.microsoft.com/office/drawing/2014/main" pred="{B245ECE1-99BD-4F77-BAD4-6F10A1C3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352" name="Imagen 1">
          <a:extLst>
            <a:ext uri="{FF2B5EF4-FFF2-40B4-BE49-F238E27FC236}">
              <a16:creationId xmlns:a16="http://schemas.microsoft.com/office/drawing/2014/main" id="{FA8EF821-5602-4CF7-8838-41E5F7223120}"/>
            </a:ext>
            <a:ext uri="{147F2762-F138-4A5C-976F-8EAC2B608ADB}">
              <a16:predDERef xmlns:a16="http://schemas.microsoft.com/office/drawing/2014/main" pred="{42A04787-F237-4AE6-AF07-E777F27DB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353" name="Imagen 1">
          <a:extLst>
            <a:ext uri="{FF2B5EF4-FFF2-40B4-BE49-F238E27FC236}">
              <a16:creationId xmlns:a16="http://schemas.microsoft.com/office/drawing/2014/main" id="{DDCD8E70-7130-4C4D-8459-138DE5128D85}"/>
            </a:ext>
            <a:ext uri="{147F2762-F138-4A5C-976F-8EAC2B608ADB}">
              <a16:predDERef xmlns:a16="http://schemas.microsoft.com/office/drawing/2014/main" pred="{FA8EF821-5602-4CF7-8838-41E5F722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354" name="Imagen 1">
          <a:extLst>
            <a:ext uri="{FF2B5EF4-FFF2-40B4-BE49-F238E27FC236}">
              <a16:creationId xmlns:a16="http://schemas.microsoft.com/office/drawing/2014/main" id="{165ED367-1390-4A41-91B7-ED5C143451A9}"/>
            </a:ext>
            <a:ext uri="{147F2762-F138-4A5C-976F-8EAC2B608ADB}">
              <a16:predDERef xmlns:a16="http://schemas.microsoft.com/office/drawing/2014/main" pred="{DDCD8E70-7130-4C4D-8459-138DE5128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133350</xdr:colOff>
      <xdr:row>18</xdr:row>
      <xdr:rowOff>38100</xdr:rowOff>
    </xdr:to>
    <xdr:pic>
      <xdr:nvPicPr>
        <xdr:cNvPr id="355" name="Imagen 1">
          <a:extLst>
            <a:ext uri="{FF2B5EF4-FFF2-40B4-BE49-F238E27FC236}">
              <a16:creationId xmlns:a16="http://schemas.microsoft.com/office/drawing/2014/main" id="{B025B87F-818B-4B31-BFB9-1F10EEB1CEDB}"/>
            </a:ext>
            <a:ext uri="{147F2762-F138-4A5C-976F-8EAC2B608ADB}">
              <a16:predDERef xmlns:a16="http://schemas.microsoft.com/office/drawing/2014/main" pred="{165ED367-1390-4A41-91B7-ED5C1434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356" name="Imagen 1">
          <a:extLst>
            <a:ext uri="{FF2B5EF4-FFF2-40B4-BE49-F238E27FC236}">
              <a16:creationId xmlns:a16="http://schemas.microsoft.com/office/drawing/2014/main" id="{8511A320-DFA8-4AD1-874F-D59F5597965E}"/>
            </a:ext>
            <a:ext uri="{147F2762-F138-4A5C-976F-8EAC2B608ADB}">
              <a16:predDERef xmlns:a16="http://schemas.microsoft.com/office/drawing/2014/main" pred="{B025B87F-818B-4B31-BFB9-1F10EEB1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357" name="Imagen 1">
          <a:extLst>
            <a:ext uri="{FF2B5EF4-FFF2-40B4-BE49-F238E27FC236}">
              <a16:creationId xmlns:a16="http://schemas.microsoft.com/office/drawing/2014/main" id="{8AFF67D5-688B-4AFD-B2D9-DDD1CC60CDF5}"/>
            </a:ext>
            <a:ext uri="{147F2762-F138-4A5C-976F-8EAC2B608ADB}">
              <a16:predDERef xmlns:a16="http://schemas.microsoft.com/office/drawing/2014/main" pred="{8511A320-DFA8-4AD1-874F-D59F55979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358" name="Imagen 1">
          <a:extLst>
            <a:ext uri="{FF2B5EF4-FFF2-40B4-BE49-F238E27FC236}">
              <a16:creationId xmlns:a16="http://schemas.microsoft.com/office/drawing/2014/main" id="{B6F10153-C58B-456C-9C6F-FFB33EE38923}"/>
            </a:ext>
            <a:ext uri="{147F2762-F138-4A5C-976F-8EAC2B608ADB}">
              <a16:predDERef xmlns:a16="http://schemas.microsoft.com/office/drawing/2014/main" pred="{8AFF67D5-688B-4AFD-B2D9-DDD1CC60C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359" name="Imagen 1">
          <a:extLst>
            <a:ext uri="{FF2B5EF4-FFF2-40B4-BE49-F238E27FC236}">
              <a16:creationId xmlns:a16="http://schemas.microsoft.com/office/drawing/2014/main" id="{68FAD906-FD47-4693-918F-98A16469DF1A}"/>
            </a:ext>
            <a:ext uri="{147F2762-F138-4A5C-976F-8EAC2B608ADB}">
              <a16:predDERef xmlns:a16="http://schemas.microsoft.com/office/drawing/2014/main" pred="{B6F10153-C58B-456C-9C6F-FFB33EE3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133350</xdr:colOff>
      <xdr:row>19</xdr:row>
      <xdr:rowOff>38100</xdr:rowOff>
    </xdr:to>
    <xdr:pic>
      <xdr:nvPicPr>
        <xdr:cNvPr id="360" name="Imagen 1">
          <a:extLst>
            <a:ext uri="{FF2B5EF4-FFF2-40B4-BE49-F238E27FC236}">
              <a16:creationId xmlns:a16="http://schemas.microsoft.com/office/drawing/2014/main" id="{B1E81D1D-D60E-4CB9-9CB6-51300F3F4AFD}"/>
            </a:ext>
            <a:ext uri="{147F2762-F138-4A5C-976F-8EAC2B608ADB}">
              <a16:predDERef xmlns:a16="http://schemas.microsoft.com/office/drawing/2014/main" pred="{68FAD906-FD47-4693-918F-98A16469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361" name="Imagen 1">
          <a:extLst>
            <a:ext uri="{FF2B5EF4-FFF2-40B4-BE49-F238E27FC236}">
              <a16:creationId xmlns:a16="http://schemas.microsoft.com/office/drawing/2014/main" id="{91D87009-C3A5-4F12-932C-8ED1A063021B}"/>
            </a:ext>
            <a:ext uri="{147F2762-F138-4A5C-976F-8EAC2B608ADB}">
              <a16:predDERef xmlns:a16="http://schemas.microsoft.com/office/drawing/2014/main" pred="{B1E81D1D-D60E-4CB9-9CB6-51300F3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362" name="Imagen 1">
          <a:extLst>
            <a:ext uri="{FF2B5EF4-FFF2-40B4-BE49-F238E27FC236}">
              <a16:creationId xmlns:a16="http://schemas.microsoft.com/office/drawing/2014/main" id="{5D6D33B9-CDD6-4F33-8E93-626B98B113E4}"/>
            </a:ext>
            <a:ext uri="{147F2762-F138-4A5C-976F-8EAC2B608ADB}">
              <a16:predDERef xmlns:a16="http://schemas.microsoft.com/office/drawing/2014/main" pred="{91D87009-C3A5-4F12-932C-8ED1A063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363" name="Imagen 1">
          <a:extLst>
            <a:ext uri="{FF2B5EF4-FFF2-40B4-BE49-F238E27FC236}">
              <a16:creationId xmlns:a16="http://schemas.microsoft.com/office/drawing/2014/main" id="{EE336E63-F263-4961-8C00-403FCE59BA4B}"/>
            </a:ext>
            <a:ext uri="{147F2762-F138-4A5C-976F-8EAC2B608ADB}">
              <a16:predDERef xmlns:a16="http://schemas.microsoft.com/office/drawing/2014/main" pred="{5D6D33B9-CDD6-4F33-8E93-626B98B1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364" name="Imagen 1">
          <a:extLst>
            <a:ext uri="{FF2B5EF4-FFF2-40B4-BE49-F238E27FC236}">
              <a16:creationId xmlns:a16="http://schemas.microsoft.com/office/drawing/2014/main" id="{526FED3F-81D4-4FAE-96B0-1C08079C893F}"/>
            </a:ext>
            <a:ext uri="{147F2762-F138-4A5C-976F-8EAC2B608ADB}">
              <a16:predDERef xmlns:a16="http://schemas.microsoft.com/office/drawing/2014/main" pred="{EE336E63-F263-4961-8C00-403FCE59B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133350</xdr:colOff>
      <xdr:row>20</xdr:row>
      <xdr:rowOff>38100</xdr:rowOff>
    </xdr:to>
    <xdr:pic>
      <xdr:nvPicPr>
        <xdr:cNvPr id="365" name="Imagen 1">
          <a:extLst>
            <a:ext uri="{FF2B5EF4-FFF2-40B4-BE49-F238E27FC236}">
              <a16:creationId xmlns:a16="http://schemas.microsoft.com/office/drawing/2014/main" id="{52838A0C-0A09-48EB-A71C-629025D48B3A}"/>
            </a:ext>
            <a:ext uri="{147F2762-F138-4A5C-976F-8EAC2B608ADB}">
              <a16:predDERef xmlns:a16="http://schemas.microsoft.com/office/drawing/2014/main" pred="{526FED3F-81D4-4FAE-96B0-1C08079C8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366" name="Imagen 1">
          <a:extLst>
            <a:ext uri="{FF2B5EF4-FFF2-40B4-BE49-F238E27FC236}">
              <a16:creationId xmlns:a16="http://schemas.microsoft.com/office/drawing/2014/main" id="{7FC15B5E-3671-4CF1-ABA8-BB4B9220DFB4}"/>
            </a:ext>
            <a:ext uri="{147F2762-F138-4A5C-976F-8EAC2B608ADB}">
              <a16:predDERef xmlns:a16="http://schemas.microsoft.com/office/drawing/2014/main" pred="{52838A0C-0A09-48EB-A71C-629025D4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367" name="Imagen 1">
          <a:extLst>
            <a:ext uri="{FF2B5EF4-FFF2-40B4-BE49-F238E27FC236}">
              <a16:creationId xmlns:a16="http://schemas.microsoft.com/office/drawing/2014/main" id="{C9F61570-3D27-4E41-9FA4-5A07099A9595}"/>
            </a:ext>
            <a:ext uri="{147F2762-F138-4A5C-976F-8EAC2B608ADB}">
              <a16:predDERef xmlns:a16="http://schemas.microsoft.com/office/drawing/2014/main" pred="{7FC15B5E-3671-4CF1-ABA8-BB4B9220D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368" name="Imagen 1">
          <a:extLst>
            <a:ext uri="{FF2B5EF4-FFF2-40B4-BE49-F238E27FC236}">
              <a16:creationId xmlns:a16="http://schemas.microsoft.com/office/drawing/2014/main" id="{2E531C72-EFD2-4675-9C56-B2B0D99D7D11}"/>
            </a:ext>
            <a:ext uri="{147F2762-F138-4A5C-976F-8EAC2B608ADB}">
              <a16:predDERef xmlns:a16="http://schemas.microsoft.com/office/drawing/2014/main" pred="{C9F61570-3D27-4E41-9FA4-5A07099A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369" name="Imagen 1">
          <a:extLst>
            <a:ext uri="{FF2B5EF4-FFF2-40B4-BE49-F238E27FC236}">
              <a16:creationId xmlns:a16="http://schemas.microsoft.com/office/drawing/2014/main" id="{6072EAEA-242A-4133-AD32-C21E818CD3D2}"/>
            </a:ext>
            <a:ext uri="{147F2762-F138-4A5C-976F-8EAC2B608ADB}">
              <a16:predDERef xmlns:a16="http://schemas.microsoft.com/office/drawing/2014/main" pred="{2E531C72-EFD2-4675-9C56-B2B0D99D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133350</xdr:colOff>
      <xdr:row>21</xdr:row>
      <xdr:rowOff>38100</xdr:rowOff>
    </xdr:to>
    <xdr:pic>
      <xdr:nvPicPr>
        <xdr:cNvPr id="370" name="Imagen 1">
          <a:extLst>
            <a:ext uri="{FF2B5EF4-FFF2-40B4-BE49-F238E27FC236}">
              <a16:creationId xmlns:a16="http://schemas.microsoft.com/office/drawing/2014/main" id="{1A167B18-2E2B-4326-B750-B8FF2D806FB8}"/>
            </a:ext>
            <a:ext uri="{147F2762-F138-4A5C-976F-8EAC2B608ADB}">
              <a16:predDERef xmlns:a16="http://schemas.microsoft.com/office/drawing/2014/main" pred="{6072EAEA-242A-4133-AD32-C21E818CD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371" name="Imagen 1">
          <a:extLst>
            <a:ext uri="{FF2B5EF4-FFF2-40B4-BE49-F238E27FC236}">
              <a16:creationId xmlns:a16="http://schemas.microsoft.com/office/drawing/2014/main" id="{44543FEE-2E0E-4349-90A5-854894B3886F}"/>
            </a:ext>
            <a:ext uri="{147F2762-F138-4A5C-976F-8EAC2B608ADB}">
              <a16:predDERef xmlns:a16="http://schemas.microsoft.com/office/drawing/2014/main" pred="{1A167B18-2E2B-4326-B750-B8FF2D80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372" name="Imagen 1">
          <a:extLst>
            <a:ext uri="{FF2B5EF4-FFF2-40B4-BE49-F238E27FC236}">
              <a16:creationId xmlns:a16="http://schemas.microsoft.com/office/drawing/2014/main" id="{D6D8AD62-4135-4246-81B9-6E335FC9751F}"/>
            </a:ext>
            <a:ext uri="{147F2762-F138-4A5C-976F-8EAC2B608ADB}">
              <a16:predDERef xmlns:a16="http://schemas.microsoft.com/office/drawing/2014/main" pred="{44543FEE-2E0E-4349-90A5-854894B38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373" name="Imagen 1">
          <a:extLst>
            <a:ext uri="{FF2B5EF4-FFF2-40B4-BE49-F238E27FC236}">
              <a16:creationId xmlns:a16="http://schemas.microsoft.com/office/drawing/2014/main" id="{7E197469-CE76-41B3-9C45-1370391A61ED}"/>
            </a:ext>
            <a:ext uri="{147F2762-F138-4A5C-976F-8EAC2B608ADB}">
              <a16:predDERef xmlns:a16="http://schemas.microsoft.com/office/drawing/2014/main" pred="{D6D8AD62-4135-4246-81B9-6E335FC97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374" name="Imagen 1">
          <a:extLst>
            <a:ext uri="{FF2B5EF4-FFF2-40B4-BE49-F238E27FC236}">
              <a16:creationId xmlns:a16="http://schemas.microsoft.com/office/drawing/2014/main" id="{6620DC96-F48B-4EF2-B930-4CD8E6EF65D2}"/>
            </a:ext>
            <a:ext uri="{147F2762-F138-4A5C-976F-8EAC2B608ADB}">
              <a16:predDERef xmlns:a16="http://schemas.microsoft.com/office/drawing/2014/main" pred="{7E197469-CE76-41B3-9C45-1370391A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133350</xdr:colOff>
      <xdr:row>22</xdr:row>
      <xdr:rowOff>38100</xdr:rowOff>
    </xdr:to>
    <xdr:pic>
      <xdr:nvPicPr>
        <xdr:cNvPr id="375" name="Imagen 1">
          <a:extLst>
            <a:ext uri="{FF2B5EF4-FFF2-40B4-BE49-F238E27FC236}">
              <a16:creationId xmlns:a16="http://schemas.microsoft.com/office/drawing/2014/main" id="{8312AE47-AA0C-4729-9749-957B3603AB1E}"/>
            </a:ext>
            <a:ext uri="{147F2762-F138-4A5C-976F-8EAC2B608ADB}">
              <a16:predDERef xmlns:a16="http://schemas.microsoft.com/office/drawing/2014/main" pred="{6620DC96-F48B-4EF2-B930-4CD8E6EF6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376" name="Imagen 1">
          <a:extLst>
            <a:ext uri="{FF2B5EF4-FFF2-40B4-BE49-F238E27FC236}">
              <a16:creationId xmlns:a16="http://schemas.microsoft.com/office/drawing/2014/main" id="{8573938D-BE71-4DB1-A8FD-EC2332076EF7}"/>
            </a:ext>
            <a:ext uri="{147F2762-F138-4A5C-976F-8EAC2B608ADB}">
              <a16:predDERef xmlns:a16="http://schemas.microsoft.com/office/drawing/2014/main" pred="{8312AE47-AA0C-4729-9749-957B3603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377" name="Imagen 1">
          <a:extLst>
            <a:ext uri="{FF2B5EF4-FFF2-40B4-BE49-F238E27FC236}">
              <a16:creationId xmlns:a16="http://schemas.microsoft.com/office/drawing/2014/main" id="{84A483BB-5C1D-4351-93F4-C18A59D36FDB}"/>
            </a:ext>
            <a:ext uri="{147F2762-F138-4A5C-976F-8EAC2B608ADB}">
              <a16:predDERef xmlns:a16="http://schemas.microsoft.com/office/drawing/2014/main" pred="{8573938D-BE71-4DB1-A8FD-EC233207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378" name="Imagen 1">
          <a:extLst>
            <a:ext uri="{FF2B5EF4-FFF2-40B4-BE49-F238E27FC236}">
              <a16:creationId xmlns:a16="http://schemas.microsoft.com/office/drawing/2014/main" id="{D1677714-F1E4-4AD7-A3F9-2170C66C5244}"/>
            </a:ext>
            <a:ext uri="{147F2762-F138-4A5C-976F-8EAC2B608ADB}">
              <a16:predDERef xmlns:a16="http://schemas.microsoft.com/office/drawing/2014/main" pred="{84A483BB-5C1D-4351-93F4-C18A59D3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379" name="Imagen 1">
          <a:extLst>
            <a:ext uri="{FF2B5EF4-FFF2-40B4-BE49-F238E27FC236}">
              <a16:creationId xmlns:a16="http://schemas.microsoft.com/office/drawing/2014/main" id="{3F89620E-E275-40F9-A4E2-0F1E6C9BDD04}"/>
            </a:ext>
            <a:ext uri="{147F2762-F138-4A5C-976F-8EAC2B608ADB}">
              <a16:predDERef xmlns:a16="http://schemas.microsoft.com/office/drawing/2014/main" pred="{D1677714-F1E4-4AD7-A3F9-2170C66C5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133350</xdr:colOff>
      <xdr:row>23</xdr:row>
      <xdr:rowOff>28575</xdr:rowOff>
    </xdr:to>
    <xdr:pic>
      <xdr:nvPicPr>
        <xdr:cNvPr id="380" name="Imagen 1">
          <a:extLst>
            <a:ext uri="{FF2B5EF4-FFF2-40B4-BE49-F238E27FC236}">
              <a16:creationId xmlns:a16="http://schemas.microsoft.com/office/drawing/2014/main" id="{4C7FC252-36B9-4AB3-B9AC-29232A71B728}"/>
            </a:ext>
            <a:ext uri="{147F2762-F138-4A5C-976F-8EAC2B608ADB}">
              <a16:predDERef xmlns:a16="http://schemas.microsoft.com/office/drawing/2014/main" pred="{3F89620E-E275-40F9-A4E2-0F1E6C9BD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381" name="Imagen 1">
          <a:extLst>
            <a:ext uri="{FF2B5EF4-FFF2-40B4-BE49-F238E27FC236}">
              <a16:creationId xmlns:a16="http://schemas.microsoft.com/office/drawing/2014/main" id="{3810C372-56D2-40AC-9F6D-6C39763F43A4}"/>
            </a:ext>
            <a:ext uri="{147F2762-F138-4A5C-976F-8EAC2B608ADB}">
              <a16:predDERef xmlns:a16="http://schemas.microsoft.com/office/drawing/2014/main" pred="{4C7FC252-36B9-4AB3-B9AC-29232A71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382" name="Imagen 1">
          <a:extLst>
            <a:ext uri="{FF2B5EF4-FFF2-40B4-BE49-F238E27FC236}">
              <a16:creationId xmlns:a16="http://schemas.microsoft.com/office/drawing/2014/main" id="{A417DEE3-D2F8-4B7B-B5C8-813E0DA65EFA}"/>
            </a:ext>
            <a:ext uri="{147F2762-F138-4A5C-976F-8EAC2B608ADB}">
              <a16:predDERef xmlns:a16="http://schemas.microsoft.com/office/drawing/2014/main" pred="{3810C372-56D2-40AC-9F6D-6C39763F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383" name="Imagen 1">
          <a:extLst>
            <a:ext uri="{FF2B5EF4-FFF2-40B4-BE49-F238E27FC236}">
              <a16:creationId xmlns:a16="http://schemas.microsoft.com/office/drawing/2014/main" id="{D134D166-C6FC-45B9-A086-417E3AA722C4}"/>
            </a:ext>
            <a:ext uri="{147F2762-F138-4A5C-976F-8EAC2B608ADB}">
              <a16:predDERef xmlns:a16="http://schemas.microsoft.com/office/drawing/2014/main" pred="{A417DEE3-D2F8-4B7B-B5C8-813E0DA65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384" name="Imagen 1">
          <a:extLst>
            <a:ext uri="{FF2B5EF4-FFF2-40B4-BE49-F238E27FC236}">
              <a16:creationId xmlns:a16="http://schemas.microsoft.com/office/drawing/2014/main" id="{F264EFB1-D526-4B53-B439-CE89E3BD7B32}"/>
            </a:ext>
            <a:ext uri="{147F2762-F138-4A5C-976F-8EAC2B608ADB}">
              <a16:predDERef xmlns:a16="http://schemas.microsoft.com/office/drawing/2014/main" pred="{D134D166-C6FC-45B9-A086-417E3AA72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133350</xdr:colOff>
      <xdr:row>24</xdr:row>
      <xdr:rowOff>28575</xdr:rowOff>
    </xdr:to>
    <xdr:pic>
      <xdr:nvPicPr>
        <xdr:cNvPr id="385" name="Imagen 1">
          <a:extLst>
            <a:ext uri="{FF2B5EF4-FFF2-40B4-BE49-F238E27FC236}">
              <a16:creationId xmlns:a16="http://schemas.microsoft.com/office/drawing/2014/main" id="{72B0820A-7F0A-4D61-A0E2-945B35185979}"/>
            </a:ext>
            <a:ext uri="{147F2762-F138-4A5C-976F-8EAC2B608ADB}">
              <a16:predDERef xmlns:a16="http://schemas.microsoft.com/office/drawing/2014/main" pred="{F264EFB1-D526-4B53-B439-CE89E3BD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386" name="Imagen 1">
          <a:extLst>
            <a:ext uri="{FF2B5EF4-FFF2-40B4-BE49-F238E27FC236}">
              <a16:creationId xmlns:a16="http://schemas.microsoft.com/office/drawing/2014/main" id="{01B1859C-B651-40FD-AEE2-A1001F5039B6}"/>
            </a:ext>
            <a:ext uri="{147F2762-F138-4A5C-976F-8EAC2B608ADB}">
              <a16:predDERef xmlns:a16="http://schemas.microsoft.com/office/drawing/2014/main" pred="{72B0820A-7F0A-4D61-A0E2-945B3518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387" name="Imagen 1">
          <a:extLst>
            <a:ext uri="{FF2B5EF4-FFF2-40B4-BE49-F238E27FC236}">
              <a16:creationId xmlns:a16="http://schemas.microsoft.com/office/drawing/2014/main" id="{4EA6298C-0F1A-46BE-A1DD-E646EF177428}"/>
            </a:ext>
            <a:ext uri="{147F2762-F138-4A5C-976F-8EAC2B608ADB}">
              <a16:predDERef xmlns:a16="http://schemas.microsoft.com/office/drawing/2014/main" pred="{01B1859C-B651-40FD-AEE2-A1001F50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388" name="Imagen 1">
          <a:extLst>
            <a:ext uri="{FF2B5EF4-FFF2-40B4-BE49-F238E27FC236}">
              <a16:creationId xmlns:a16="http://schemas.microsoft.com/office/drawing/2014/main" id="{F092920C-A09B-4DF6-901B-0B2175E394C5}"/>
            </a:ext>
            <a:ext uri="{147F2762-F138-4A5C-976F-8EAC2B608ADB}">
              <a16:predDERef xmlns:a16="http://schemas.microsoft.com/office/drawing/2014/main" pred="{4EA6298C-0F1A-46BE-A1DD-E646EF177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389" name="Imagen 1">
          <a:extLst>
            <a:ext uri="{FF2B5EF4-FFF2-40B4-BE49-F238E27FC236}">
              <a16:creationId xmlns:a16="http://schemas.microsoft.com/office/drawing/2014/main" id="{D6FD5CE5-196C-4D3B-B6CD-0674BCD13898}"/>
            </a:ext>
            <a:ext uri="{147F2762-F138-4A5C-976F-8EAC2B608ADB}">
              <a16:predDERef xmlns:a16="http://schemas.microsoft.com/office/drawing/2014/main" pred="{F092920C-A09B-4DF6-901B-0B2175E3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133350</xdr:colOff>
      <xdr:row>25</xdr:row>
      <xdr:rowOff>28575</xdr:rowOff>
    </xdr:to>
    <xdr:pic>
      <xdr:nvPicPr>
        <xdr:cNvPr id="390" name="Imagen 1">
          <a:extLst>
            <a:ext uri="{FF2B5EF4-FFF2-40B4-BE49-F238E27FC236}">
              <a16:creationId xmlns:a16="http://schemas.microsoft.com/office/drawing/2014/main" id="{C10B9D80-2A73-4F04-A38C-AA7DC59D6233}"/>
            </a:ext>
            <a:ext uri="{147F2762-F138-4A5C-976F-8EAC2B608ADB}">
              <a16:predDERef xmlns:a16="http://schemas.microsoft.com/office/drawing/2014/main" pred="{D6FD5CE5-196C-4D3B-B6CD-0674BCD1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391" name="Imagen 1">
          <a:extLst>
            <a:ext uri="{FF2B5EF4-FFF2-40B4-BE49-F238E27FC236}">
              <a16:creationId xmlns:a16="http://schemas.microsoft.com/office/drawing/2014/main" id="{6874816D-88B0-47ED-881E-826CE8BD2B8E}"/>
            </a:ext>
            <a:ext uri="{147F2762-F138-4A5C-976F-8EAC2B608ADB}">
              <a16:predDERef xmlns:a16="http://schemas.microsoft.com/office/drawing/2014/main" pred="{C10B9D80-2A73-4F04-A38C-AA7DC59D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392" name="Imagen 1">
          <a:extLst>
            <a:ext uri="{FF2B5EF4-FFF2-40B4-BE49-F238E27FC236}">
              <a16:creationId xmlns:a16="http://schemas.microsoft.com/office/drawing/2014/main" id="{5BFEDFBA-3CA2-4E6A-A6AB-0FBD92C35B4D}"/>
            </a:ext>
            <a:ext uri="{147F2762-F138-4A5C-976F-8EAC2B608ADB}">
              <a16:predDERef xmlns:a16="http://schemas.microsoft.com/office/drawing/2014/main" pred="{6874816D-88B0-47ED-881E-826CE8BD2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393" name="Imagen 1">
          <a:extLst>
            <a:ext uri="{FF2B5EF4-FFF2-40B4-BE49-F238E27FC236}">
              <a16:creationId xmlns:a16="http://schemas.microsoft.com/office/drawing/2014/main" id="{4B984CED-E77C-439C-BD12-EBEDCFA7F8D1}"/>
            </a:ext>
            <a:ext uri="{147F2762-F138-4A5C-976F-8EAC2B608ADB}">
              <a16:predDERef xmlns:a16="http://schemas.microsoft.com/office/drawing/2014/main" pred="{5BFEDFBA-3CA2-4E6A-A6AB-0FBD92C3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394" name="Imagen 1">
          <a:extLst>
            <a:ext uri="{FF2B5EF4-FFF2-40B4-BE49-F238E27FC236}">
              <a16:creationId xmlns:a16="http://schemas.microsoft.com/office/drawing/2014/main" id="{390CE1CB-EC07-433A-B235-4EC4CE1FD07F}"/>
            </a:ext>
            <a:ext uri="{147F2762-F138-4A5C-976F-8EAC2B608ADB}">
              <a16:predDERef xmlns:a16="http://schemas.microsoft.com/office/drawing/2014/main" pred="{4B984CED-E77C-439C-BD12-EBEDCFA7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38100</xdr:rowOff>
    </xdr:to>
    <xdr:pic>
      <xdr:nvPicPr>
        <xdr:cNvPr id="395" name="Imagen 1">
          <a:extLst>
            <a:ext uri="{FF2B5EF4-FFF2-40B4-BE49-F238E27FC236}">
              <a16:creationId xmlns:a16="http://schemas.microsoft.com/office/drawing/2014/main" id="{6E4E7B57-BAE8-435E-A6F0-5E07F7D6FE18}"/>
            </a:ext>
            <a:ext uri="{147F2762-F138-4A5C-976F-8EAC2B608ADB}">
              <a16:predDERef xmlns:a16="http://schemas.microsoft.com/office/drawing/2014/main" pred="{390CE1CB-EC07-433A-B235-4EC4CE1FD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133350</xdr:colOff>
      <xdr:row>17</xdr:row>
      <xdr:rowOff>38100</xdr:rowOff>
    </xdr:to>
    <xdr:pic>
      <xdr:nvPicPr>
        <xdr:cNvPr id="396" name="Imagen 1">
          <a:extLst>
            <a:ext uri="{FF2B5EF4-FFF2-40B4-BE49-F238E27FC236}">
              <a16:creationId xmlns:a16="http://schemas.microsoft.com/office/drawing/2014/main" id="{4AC83A4A-9602-4087-A078-F1036452A2A6}"/>
            </a:ext>
            <a:ext uri="{147F2762-F138-4A5C-976F-8EAC2B608ADB}">
              <a16:predDERef xmlns:a16="http://schemas.microsoft.com/office/drawing/2014/main" pred="{6E4E7B57-BAE8-435E-A6F0-5E07F7D6F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133350</xdr:colOff>
      <xdr:row>17</xdr:row>
      <xdr:rowOff>38100</xdr:rowOff>
    </xdr:to>
    <xdr:pic>
      <xdr:nvPicPr>
        <xdr:cNvPr id="397" name="Imagen 1">
          <a:extLst>
            <a:ext uri="{FF2B5EF4-FFF2-40B4-BE49-F238E27FC236}">
              <a16:creationId xmlns:a16="http://schemas.microsoft.com/office/drawing/2014/main" id="{2E05841A-E884-492A-AA12-BECEBBD25369}"/>
            </a:ext>
            <a:ext uri="{147F2762-F138-4A5C-976F-8EAC2B608ADB}">
              <a16:predDERef xmlns:a16="http://schemas.microsoft.com/office/drawing/2014/main" pred="{4AC83A4A-9602-4087-A078-F1036452A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133350</xdr:colOff>
      <xdr:row>17</xdr:row>
      <xdr:rowOff>38100</xdr:rowOff>
    </xdr:to>
    <xdr:pic>
      <xdr:nvPicPr>
        <xdr:cNvPr id="398" name="Imagen 1">
          <a:extLst>
            <a:ext uri="{FF2B5EF4-FFF2-40B4-BE49-F238E27FC236}">
              <a16:creationId xmlns:a16="http://schemas.microsoft.com/office/drawing/2014/main" id="{91CA8E11-FF12-4A82-9A02-F324945C05EA}"/>
            </a:ext>
            <a:ext uri="{147F2762-F138-4A5C-976F-8EAC2B608ADB}">
              <a16:predDERef xmlns:a16="http://schemas.microsoft.com/office/drawing/2014/main" pred="{2E05841A-E884-492A-AA12-BECEBBD25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399" name="Imagen 1">
          <a:extLst>
            <a:ext uri="{FF2B5EF4-FFF2-40B4-BE49-F238E27FC236}">
              <a16:creationId xmlns:a16="http://schemas.microsoft.com/office/drawing/2014/main" id="{C19A577D-A19A-40A8-80EA-2644836DE028}"/>
            </a:ext>
            <a:ext uri="{147F2762-F138-4A5C-976F-8EAC2B608ADB}">
              <a16:predDERef xmlns:a16="http://schemas.microsoft.com/office/drawing/2014/main" pred="{91CA8E11-FF12-4A82-9A02-F324945C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400" name="Imagen 1">
          <a:extLst>
            <a:ext uri="{FF2B5EF4-FFF2-40B4-BE49-F238E27FC236}">
              <a16:creationId xmlns:a16="http://schemas.microsoft.com/office/drawing/2014/main" id="{A94F900C-31D0-45EB-9E10-371495C3C0B0}"/>
            </a:ext>
            <a:ext uri="{147F2762-F138-4A5C-976F-8EAC2B608ADB}">
              <a16:predDERef xmlns:a16="http://schemas.microsoft.com/office/drawing/2014/main" pred="{C19A577D-A19A-40A8-80EA-2644836D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133350</xdr:colOff>
      <xdr:row>17</xdr:row>
      <xdr:rowOff>38100</xdr:rowOff>
    </xdr:to>
    <xdr:pic>
      <xdr:nvPicPr>
        <xdr:cNvPr id="401" name="Imagen 1">
          <a:extLst>
            <a:ext uri="{FF2B5EF4-FFF2-40B4-BE49-F238E27FC236}">
              <a16:creationId xmlns:a16="http://schemas.microsoft.com/office/drawing/2014/main" id="{86ADC25B-F333-4F12-9078-F6CA9C596DE6}"/>
            </a:ext>
            <a:ext uri="{147F2762-F138-4A5C-976F-8EAC2B608ADB}">
              <a16:predDERef xmlns:a16="http://schemas.microsoft.com/office/drawing/2014/main" pred="{A94F900C-31D0-45EB-9E10-371495C3C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133350</xdr:colOff>
      <xdr:row>17</xdr:row>
      <xdr:rowOff>38100</xdr:rowOff>
    </xdr:to>
    <xdr:pic>
      <xdr:nvPicPr>
        <xdr:cNvPr id="402" name="Imagen 1">
          <a:extLst>
            <a:ext uri="{FF2B5EF4-FFF2-40B4-BE49-F238E27FC236}">
              <a16:creationId xmlns:a16="http://schemas.microsoft.com/office/drawing/2014/main" id="{6A3E2BD4-308F-439D-90BD-DE75EE89D421}"/>
            </a:ext>
            <a:ext uri="{147F2762-F138-4A5C-976F-8EAC2B608ADB}">
              <a16:predDERef xmlns:a16="http://schemas.microsoft.com/office/drawing/2014/main" pred="{86ADC25B-F333-4F12-9078-F6CA9C59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400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38100</xdr:rowOff>
    </xdr:to>
    <xdr:pic>
      <xdr:nvPicPr>
        <xdr:cNvPr id="403" name="Imagen 1">
          <a:extLst>
            <a:ext uri="{FF2B5EF4-FFF2-40B4-BE49-F238E27FC236}">
              <a16:creationId xmlns:a16="http://schemas.microsoft.com/office/drawing/2014/main" id="{3F7C9D60-F651-4AFD-8E57-A202B7AA4BBB}"/>
            </a:ext>
            <a:ext uri="{147F2762-F138-4A5C-976F-8EAC2B608ADB}">
              <a16:predDERef xmlns:a16="http://schemas.microsoft.com/office/drawing/2014/main" pred="{6A3E2BD4-308F-439D-90BD-DE75EE89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133350</xdr:colOff>
      <xdr:row>18</xdr:row>
      <xdr:rowOff>38100</xdr:rowOff>
    </xdr:to>
    <xdr:pic>
      <xdr:nvPicPr>
        <xdr:cNvPr id="404" name="Imagen 1">
          <a:extLst>
            <a:ext uri="{FF2B5EF4-FFF2-40B4-BE49-F238E27FC236}">
              <a16:creationId xmlns:a16="http://schemas.microsoft.com/office/drawing/2014/main" id="{166E7C17-08ED-457E-8520-1758AFADD236}"/>
            </a:ext>
            <a:ext uri="{147F2762-F138-4A5C-976F-8EAC2B608ADB}">
              <a16:predDERef xmlns:a16="http://schemas.microsoft.com/office/drawing/2014/main" pred="{3F7C9D60-F651-4AFD-8E57-A202B7AA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133350</xdr:colOff>
      <xdr:row>18</xdr:row>
      <xdr:rowOff>38100</xdr:rowOff>
    </xdr:to>
    <xdr:pic>
      <xdr:nvPicPr>
        <xdr:cNvPr id="405" name="Imagen 1">
          <a:extLst>
            <a:ext uri="{FF2B5EF4-FFF2-40B4-BE49-F238E27FC236}">
              <a16:creationId xmlns:a16="http://schemas.microsoft.com/office/drawing/2014/main" id="{8BB8F0CD-6191-441F-AF5E-BE0A56716753}"/>
            </a:ext>
            <a:ext uri="{147F2762-F138-4A5C-976F-8EAC2B608ADB}">
              <a16:predDERef xmlns:a16="http://schemas.microsoft.com/office/drawing/2014/main" pred="{166E7C17-08ED-457E-8520-1758AFADD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133350</xdr:colOff>
      <xdr:row>18</xdr:row>
      <xdr:rowOff>38100</xdr:rowOff>
    </xdr:to>
    <xdr:pic>
      <xdr:nvPicPr>
        <xdr:cNvPr id="406" name="Imagen 1">
          <a:extLst>
            <a:ext uri="{FF2B5EF4-FFF2-40B4-BE49-F238E27FC236}">
              <a16:creationId xmlns:a16="http://schemas.microsoft.com/office/drawing/2014/main" id="{3291BF02-CEC9-4525-B93B-C01B85F28AC2}"/>
            </a:ext>
            <a:ext uri="{147F2762-F138-4A5C-976F-8EAC2B608ADB}">
              <a16:predDERef xmlns:a16="http://schemas.microsoft.com/office/drawing/2014/main" pred="{8BB8F0CD-6191-441F-AF5E-BE0A56716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407" name="Imagen 1">
          <a:extLst>
            <a:ext uri="{FF2B5EF4-FFF2-40B4-BE49-F238E27FC236}">
              <a16:creationId xmlns:a16="http://schemas.microsoft.com/office/drawing/2014/main" id="{F6D005C5-46B2-4E33-B3E5-E872D2446DA3}"/>
            </a:ext>
            <a:ext uri="{147F2762-F138-4A5C-976F-8EAC2B608ADB}">
              <a16:predDERef xmlns:a16="http://schemas.microsoft.com/office/drawing/2014/main" pred="{3291BF02-CEC9-4525-B93B-C01B85F2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408" name="Imagen 1">
          <a:extLst>
            <a:ext uri="{FF2B5EF4-FFF2-40B4-BE49-F238E27FC236}">
              <a16:creationId xmlns:a16="http://schemas.microsoft.com/office/drawing/2014/main" id="{C9480EF1-B0F0-4158-9F0F-AF8553BDC7A7}"/>
            </a:ext>
            <a:ext uri="{147F2762-F138-4A5C-976F-8EAC2B608ADB}">
              <a16:predDERef xmlns:a16="http://schemas.microsoft.com/office/drawing/2014/main" pred="{F6D005C5-46B2-4E33-B3E5-E872D2446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133350</xdr:colOff>
      <xdr:row>18</xdr:row>
      <xdr:rowOff>38100</xdr:rowOff>
    </xdr:to>
    <xdr:pic>
      <xdr:nvPicPr>
        <xdr:cNvPr id="409" name="Imagen 1">
          <a:extLst>
            <a:ext uri="{FF2B5EF4-FFF2-40B4-BE49-F238E27FC236}">
              <a16:creationId xmlns:a16="http://schemas.microsoft.com/office/drawing/2014/main" id="{359C697F-EE15-4A38-A538-E895CAE1ADF8}"/>
            </a:ext>
            <a:ext uri="{147F2762-F138-4A5C-976F-8EAC2B608ADB}">
              <a16:predDERef xmlns:a16="http://schemas.microsoft.com/office/drawing/2014/main" pred="{C9480EF1-B0F0-4158-9F0F-AF8553BDC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133350</xdr:colOff>
      <xdr:row>18</xdr:row>
      <xdr:rowOff>38100</xdr:rowOff>
    </xdr:to>
    <xdr:pic>
      <xdr:nvPicPr>
        <xdr:cNvPr id="410" name="Imagen 1">
          <a:extLst>
            <a:ext uri="{FF2B5EF4-FFF2-40B4-BE49-F238E27FC236}">
              <a16:creationId xmlns:a16="http://schemas.microsoft.com/office/drawing/2014/main" id="{E3108037-E984-4887-AA92-F9504F12A70F}"/>
            </a:ext>
            <a:ext uri="{147F2762-F138-4A5C-976F-8EAC2B608ADB}">
              <a16:predDERef xmlns:a16="http://schemas.microsoft.com/office/drawing/2014/main" pred="{359C697F-EE15-4A38-A538-E895CAE1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6000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38100</xdr:rowOff>
    </xdr:to>
    <xdr:pic>
      <xdr:nvPicPr>
        <xdr:cNvPr id="411" name="Imagen 1">
          <a:extLst>
            <a:ext uri="{FF2B5EF4-FFF2-40B4-BE49-F238E27FC236}">
              <a16:creationId xmlns:a16="http://schemas.microsoft.com/office/drawing/2014/main" id="{5E5BCF18-8F00-4383-BEEF-64B014FF2524}"/>
            </a:ext>
            <a:ext uri="{147F2762-F138-4A5C-976F-8EAC2B608ADB}">
              <a16:predDERef xmlns:a16="http://schemas.microsoft.com/office/drawing/2014/main" pred="{E3108037-E984-4887-AA92-F9504F12A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133350</xdr:colOff>
      <xdr:row>19</xdr:row>
      <xdr:rowOff>38100</xdr:rowOff>
    </xdr:to>
    <xdr:pic>
      <xdr:nvPicPr>
        <xdr:cNvPr id="412" name="Imagen 1">
          <a:extLst>
            <a:ext uri="{FF2B5EF4-FFF2-40B4-BE49-F238E27FC236}">
              <a16:creationId xmlns:a16="http://schemas.microsoft.com/office/drawing/2014/main" id="{6D1EDA0E-E69D-40B9-841B-F848EF0EBC6E}"/>
            </a:ext>
            <a:ext uri="{147F2762-F138-4A5C-976F-8EAC2B608ADB}">
              <a16:predDERef xmlns:a16="http://schemas.microsoft.com/office/drawing/2014/main" pred="{5E5BCF18-8F00-4383-BEEF-64B014FF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133350</xdr:colOff>
      <xdr:row>19</xdr:row>
      <xdr:rowOff>38100</xdr:rowOff>
    </xdr:to>
    <xdr:pic>
      <xdr:nvPicPr>
        <xdr:cNvPr id="413" name="Imagen 1">
          <a:extLst>
            <a:ext uri="{FF2B5EF4-FFF2-40B4-BE49-F238E27FC236}">
              <a16:creationId xmlns:a16="http://schemas.microsoft.com/office/drawing/2014/main" id="{D18EF443-651E-4CA7-A385-B4E17B890EA3}"/>
            </a:ext>
            <a:ext uri="{147F2762-F138-4A5C-976F-8EAC2B608ADB}">
              <a16:predDERef xmlns:a16="http://schemas.microsoft.com/office/drawing/2014/main" pred="{6D1EDA0E-E69D-40B9-841B-F848EF0EB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133350</xdr:colOff>
      <xdr:row>19</xdr:row>
      <xdr:rowOff>38100</xdr:rowOff>
    </xdr:to>
    <xdr:pic>
      <xdr:nvPicPr>
        <xdr:cNvPr id="414" name="Imagen 1">
          <a:extLst>
            <a:ext uri="{FF2B5EF4-FFF2-40B4-BE49-F238E27FC236}">
              <a16:creationId xmlns:a16="http://schemas.microsoft.com/office/drawing/2014/main" id="{A018E8CC-44AF-4F90-86F7-E5E83D06F14A}"/>
            </a:ext>
            <a:ext uri="{147F2762-F138-4A5C-976F-8EAC2B608ADB}">
              <a16:predDERef xmlns:a16="http://schemas.microsoft.com/office/drawing/2014/main" pred="{D18EF443-651E-4CA7-A385-B4E17B890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415" name="Imagen 1">
          <a:extLst>
            <a:ext uri="{FF2B5EF4-FFF2-40B4-BE49-F238E27FC236}">
              <a16:creationId xmlns:a16="http://schemas.microsoft.com/office/drawing/2014/main" id="{8ADF2EB7-E81D-4FE8-BFBE-70AD3F60E6CF}"/>
            </a:ext>
            <a:ext uri="{147F2762-F138-4A5C-976F-8EAC2B608ADB}">
              <a16:predDERef xmlns:a16="http://schemas.microsoft.com/office/drawing/2014/main" pred="{A018E8CC-44AF-4F90-86F7-E5E83D06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416" name="Imagen 1">
          <a:extLst>
            <a:ext uri="{FF2B5EF4-FFF2-40B4-BE49-F238E27FC236}">
              <a16:creationId xmlns:a16="http://schemas.microsoft.com/office/drawing/2014/main" id="{AD8659F3-7723-4A14-B38B-4A06DA22B879}"/>
            </a:ext>
            <a:ext uri="{147F2762-F138-4A5C-976F-8EAC2B608ADB}">
              <a16:predDERef xmlns:a16="http://schemas.microsoft.com/office/drawing/2014/main" pred="{8ADF2EB7-E81D-4FE8-BFBE-70AD3F60E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133350</xdr:colOff>
      <xdr:row>19</xdr:row>
      <xdr:rowOff>38100</xdr:rowOff>
    </xdr:to>
    <xdr:pic>
      <xdr:nvPicPr>
        <xdr:cNvPr id="417" name="Imagen 1">
          <a:extLst>
            <a:ext uri="{FF2B5EF4-FFF2-40B4-BE49-F238E27FC236}">
              <a16:creationId xmlns:a16="http://schemas.microsoft.com/office/drawing/2014/main" id="{9FCC1A61-55C1-406D-A767-CDDA4BD55AA7}"/>
            </a:ext>
            <a:ext uri="{147F2762-F138-4A5C-976F-8EAC2B608ADB}">
              <a16:predDERef xmlns:a16="http://schemas.microsoft.com/office/drawing/2014/main" pred="{AD8659F3-7723-4A14-B38B-4A06DA22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133350</xdr:colOff>
      <xdr:row>19</xdr:row>
      <xdr:rowOff>38100</xdr:rowOff>
    </xdr:to>
    <xdr:pic>
      <xdr:nvPicPr>
        <xdr:cNvPr id="418" name="Imagen 1">
          <a:extLst>
            <a:ext uri="{FF2B5EF4-FFF2-40B4-BE49-F238E27FC236}">
              <a16:creationId xmlns:a16="http://schemas.microsoft.com/office/drawing/2014/main" id="{03DA3D8D-4D74-48E1-B677-A391BED82FC6}"/>
            </a:ext>
            <a:ext uri="{147F2762-F138-4A5C-976F-8EAC2B608ADB}">
              <a16:predDERef xmlns:a16="http://schemas.microsoft.com/office/drawing/2014/main" pred="{9FCC1A61-55C1-406D-A767-CDDA4BD55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8001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38100</xdr:rowOff>
    </xdr:to>
    <xdr:pic>
      <xdr:nvPicPr>
        <xdr:cNvPr id="419" name="Imagen 1">
          <a:extLst>
            <a:ext uri="{FF2B5EF4-FFF2-40B4-BE49-F238E27FC236}">
              <a16:creationId xmlns:a16="http://schemas.microsoft.com/office/drawing/2014/main" id="{73BD8378-78AC-4F76-822A-8970C2090E46}"/>
            </a:ext>
            <a:ext uri="{147F2762-F138-4A5C-976F-8EAC2B608ADB}">
              <a16:predDERef xmlns:a16="http://schemas.microsoft.com/office/drawing/2014/main" pred="{03DA3D8D-4D74-48E1-B677-A391BED82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133350</xdr:colOff>
      <xdr:row>20</xdr:row>
      <xdr:rowOff>38100</xdr:rowOff>
    </xdr:to>
    <xdr:pic>
      <xdr:nvPicPr>
        <xdr:cNvPr id="420" name="Imagen 1">
          <a:extLst>
            <a:ext uri="{FF2B5EF4-FFF2-40B4-BE49-F238E27FC236}">
              <a16:creationId xmlns:a16="http://schemas.microsoft.com/office/drawing/2014/main" id="{12DFC63E-3AB8-48FC-B869-228E5A8D24DB}"/>
            </a:ext>
            <a:ext uri="{147F2762-F138-4A5C-976F-8EAC2B608ADB}">
              <a16:predDERef xmlns:a16="http://schemas.microsoft.com/office/drawing/2014/main" pred="{73BD8378-78AC-4F76-822A-8970C2090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133350</xdr:colOff>
      <xdr:row>20</xdr:row>
      <xdr:rowOff>38100</xdr:rowOff>
    </xdr:to>
    <xdr:pic>
      <xdr:nvPicPr>
        <xdr:cNvPr id="421" name="Imagen 1">
          <a:extLst>
            <a:ext uri="{FF2B5EF4-FFF2-40B4-BE49-F238E27FC236}">
              <a16:creationId xmlns:a16="http://schemas.microsoft.com/office/drawing/2014/main" id="{65A14908-AE0B-47D4-86DB-09E4CE4174DB}"/>
            </a:ext>
            <a:ext uri="{147F2762-F138-4A5C-976F-8EAC2B608ADB}">
              <a16:predDERef xmlns:a16="http://schemas.microsoft.com/office/drawing/2014/main" pred="{12DFC63E-3AB8-48FC-B869-228E5A8D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133350</xdr:colOff>
      <xdr:row>20</xdr:row>
      <xdr:rowOff>38100</xdr:rowOff>
    </xdr:to>
    <xdr:pic>
      <xdr:nvPicPr>
        <xdr:cNvPr id="422" name="Imagen 1">
          <a:extLst>
            <a:ext uri="{FF2B5EF4-FFF2-40B4-BE49-F238E27FC236}">
              <a16:creationId xmlns:a16="http://schemas.microsoft.com/office/drawing/2014/main" id="{BD70ABB0-59AA-4424-9B32-29015D13C79E}"/>
            </a:ext>
            <a:ext uri="{147F2762-F138-4A5C-976F-8EAC2B608ADB}">
              <a16:predDERef xmlns:a16="http://schemas.microsoft.com/office/drawing/2014/main" pred="{65A14908-AE0B-47D4-86DB-09E4CE41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423" name="Imagen 1">
          <a:extLst>
            <a:ext uri="{FF2B5EF4-FFF2-40B4-BE49-F238E27FC236}">
              <a16:creationId xmlns:a16="http://schemas.microsoft.com/office/drawing/2014/main" id="{CF7D935E-6FB2-40B3-9B17-34410B1CECA3}"/>
            </a:ext>
            <a:ext uri="{147F2762-F138-4A5C-976F-8EAC2B608ADB}">
              <a16:predDERef xmlns:a16="http://schemas.microsoft.com/office/drawing/2014/main" pred="{BD70ABB0-59AA-4424-9B32-29015D13C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424" name="Imagen 1">
          <a:extLst>
            <a:ext uri="{FF2B5EF4-FFF2-40B4-BE49-F238E27FC236}">
              <a16:creationId xmlns:a16="http://schemas.microsoft.com/office/drawing/2014/main" id="{70866D1D-9DF1-43FE-B8BA-E3761154904A}"/>
            </a:ext>
            <a:ext uri="{147F2762-F138-4A5C-976F-8EAC2B608ADB}">
              <a16:predDERef xmlns:a16="http://schemas.microsoft.com/office/drawing/2014/main" pred="{CF7D935E-6FB2-40B3-9B17-34410B1C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133350</xdr:colOff>
      <xdr:row>20</xdr:row>
      <xdr:rowOff>38100</xdr:rowOff>
    </xdr:to>
    <xdr:pic>
      <xdr:nvPicPr>
        <xdr:cNvPr id="425" name="Imagen 1">
          <a:extLst>
            <a:ext uri="{FF2B5EF4-FFF2-40B4-BE49-F238E27FC236}">
              <a16:creationId xmlns:a16="http://schemas.microsoft.com/office/drawing/2014/main" id="{F2228F54-7A3D-4888-9931-BA953AD4FEAD}"/>
            </a:ext>
            <a:ext uri="{147F2762-F138-4A5C-976F-8EAC2B608ADB}">
              <a16:predDERef xmlns:a16="http://schemas.microsoft.com/office/drawing/2014/main" pred="{70866D1D-9DF1-43FE-B8BA-E37611549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133350</xdr:colOff>
      <xdr:row>20</xdr:row>
      <xdr:rowOff>38100</xdr:rowOff>
    </xdr:to>
    <xdr:pic>
      <xdr:nvPicPr>
        <xdr:cNvPr id="426" name="Imagen 1">
          <a:extLst>
            <a:ext uri="{FF2B5EF4-FFF2-40B4-BE49-F238E27FC236}">
              <a16:creationId xmlns:a16="http://schemas.microsoft.com/office/drawing/2014/main" id="{48BD943F-15BE-4D5D-A029-E1219609EA79}"/>
            </a:ext>
            <a:ext uri="{147F2762-F138-4A5C-976F-8EAC2B608ADB}">
              <a16:predDERef xmlns:a16="http://schemas.microsoft.com/office/drawing/2014/main" pred="{F2228F54-7A3D-4888-9931-BA953AD4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000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38100</xdr:rowOff>
    </xdr:to>
    <xdr:pic>
      <xdr:nvPicPr>
        <xdr:cNvPr id="427" name="Imagen 1">
          <a:extLst>
            <a:ext uri="{FF2B5EF4-FFF2-40B4-BE49-F238E27FC236}">
              <a16:creationId xmlns:a16="http://schemas.microsoft.com/office/drawing/2014/main" id="{CC2E5C4E-2ED1-428C-956E-40C85D9655DE}"/>
            </a:ext>
            <a:ext uri="{147F2762-F138-4A5C-976F-8EAC2B608ADB}">
              <a16:predDERef xmlns:a16="http://schemas.microsoft.com/office/drawing/2014/main" pred="{48BD943F-15BE-4D5D-A029-E1219609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133350</xdr:colOff>
      <xdr:row>21</xdr:row>
      <xdr:rowOff>38100</xdr:rowOff>
    </xdr:to>
    <xdr:pic>
      <xdr:nvPicPr>
        <xdr:cNvPr id="428" name="Imagen 1">
          <a:extLst>
            <a:ext uri="{FF2B5EF4-FFF2-40B4-BE49-F238E27FC236}">
              <a16:creationId xmlns:a16="http://schemas.microsoft.com/office/drawing/2014/main" id="{13661E4E-72E0-4D86-A060-58FD04626447}"/>
            </a:ext>
            <a:ext uri="{147F2762-F138-4A5C-976F-8EAC2B608ADB}">
              <a16:predDERef xmlns:a16="http://schemas.microsoft.com/office/drawing/2014/main" pred="{CC2E5C4E-2ED1-428C-956E-40C85D96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133350</xdr:colOff>
      <xdr:row>21</xdr:row>
      <xdr:rowOff>38100</xdr:rowOff>
    </xdr:to>
    <xdr:pic>
      <xdr:nvPicPr>
        <xdr:cNvPr id="429" name="Imagen 1">
          <a:extLst>
            <a:ext uri="{FF2B5EF4-FFF2-40B4-BE49-F238E27FC236}">
              <a16:creationId xmlns:a16="http://schemas.microsoft.com/office/drawing/2014/main" id="{F67DCEFF-42FD-4033-8C71-09E3FA962398}"/>
            </a:ext>
            <a:ext uri="{147F2762-F138-4A5C-976F-8EAC2B608ADB}">
              <a16:predDERef xmlns:a16="http://schemas.microsoft.com/office/drawing/2014/main" pred="{13661E4E-72E0-4D86-A060-58FD0462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133350</xdr:colOff>
      <xdr:row>21</xdr:row>
      <xdr:rowOff>38100</xdr:rowOff>
    </xdr:to>
    <xdr:pic>
      <xdr:nvPicPr>
        <xdr:cNvPr id="430" name="Imagen 1">
          <a:extLst>
            <a:ext uri="{FF2B5EF4-FFF2-40B4-BE49-F238E27FC236}">
              <a16:creationId xmlns:a16="http://schemas.microsoft.com/office/drawing/2014/main" id="{FCD17437-FCEA-4CD6-B976-482A867DA1C7}"/>
            </a:ext>
            <a:ext uri="{147F2762-F138-4A5C-976F-8EAC2B608ADB}">
              <a16:predDERef xmlns:a16="http://schemas.microsoft.com/office/drawing/2014/main" pred="{F67DCEFF-42FD-4033-8C71-09E3FA962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431" name="Imagen 1">
          <a:extLst>
            <a:ext uri="{FF2B5EF4-FFF2-40B4-BE49-F238E27FC236}">
              <a16:creationId xmlns:a16="http://schemas.microsoft.com/office/drawing/2014/main" id="{35EEE945-F5CB-487A-AFAD-0952AADF0F2B}"/>
            </a:ext>
            <a:ext uri="{147F2762-F138-4A5C-976F-8EAC2B608ADB}">
              <a16:predDERef xmlns:a16="http://schemas.microsoft.com/office/drawing/2014/main" pred="{FCD17437-FCEA-4CD6-B976-482A867D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432" name="Imagen 1">
          <a:extLst>
            <a:ext uri="{FF2B5EF4-FFF2-40B4-BE49-F238E27FC236}">
              <a16:creationId xmlns:a16="http://schemas.microsoft.com/office/drawing/2014/main" id="{A23A1000-6588-4D72-B3BF-AA961ADC6873}"/>
            </a:ext>
            <a:ext uri="{147F2762-F138-4A5C-976F-8EAC2B608ADB}">
              <a16:predDERef xmlns:a16="http://schemas.microsoft.com/office/drawing/2014/main" pred="{35EEE945-F5CB-487A-AFAD-0952AADF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133350</xdr:colOff>
      <xdr:row>21</xdr:row>
      <xdr:rowOff>38100</xdr:rowOff>
    </xdr:to>
    <xdr:pic>
      <xdr:nvPicPr>
        <xdr:cNvPr id="433" name="Imagen 1">
          <a:extLst>
            <a:ext uri="{FF2B5EF4-FFF2-40B4-BE49-F238E27FC236}">
              <a16:creationId xmlns:a16="http://schemas.microsoft.com/office/drawing/2014/main" id="{D64FFF9C-9E42-4E08-9316-D83CDADAC339}"/>
            </a:ext>
            <a:ext uri="{147F2762-F138-4A5C-976F-8EAC2B608ADB}">
              <a16:predDERef xmlns:a16="http://schemas.microsoft.com/office/drawing/2014/main" pred="{A23A1000-6588-4D72-B3BF-AA961ADC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133350</xdr:colOff>
      <xdr:row>21</xdr:row>
      <xdr:rowOff>38100</xdr:rowOff>
    </xdr:to>
    <xdr:pic>
      <xdr:nvPicPr>
        <xdr:cNvPr id="434" name="Imagen 1">
          <a:extLst>
            <a:ext uri="{FF2B5EF4-FFF2-40B4-BE49-F238E27FC236}">
              <a16:creationId xmlns:a16="http://schemas.microsoft.com/office/drawing/2014/main" id="{F55EF1B6-83C8-4B10-B219-DA44B2EAF274}"/>
            </a:ext>
            <a:ext uri="{147F2762-F138-4A5C-976F-8EAC2B608ADB}">
              <a16:predDERef xmlns:a16="http://schemas.microsoft.com/office/drawing/2014/main" pred="{D64FFF9C-9E42-4E08-9316-D83CDADA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2001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38100</xdr:rowOff>
    </xdr:to>
    <xdr:pic>
      <xdr:nvPicPr>
        <xdr:cNvPr id="435" name="Imagen 1">
          <a:extLst>
            <a:ext uri="{FF2B5EF4-FFF2-40B4-BE49-F238E27FC236}">
              <a16:creationId xmlns:a16="http://schemas.microsoft.com/office/drawing/2014/main" id="{839155CF-63CC-40C3-82AB-A33043E8F5B0}"/>
            </a:ext>
            <a:ext uri="{147F2762-F138-4A5C-976F-8EAC2B608ADB}">
              <a16:predDERef xmlns:a16="http://schemas.microsoft.com/office/drawing/2014/main" pred="{F55EF1B6-83C8-4B10-B219-DA44B2EAF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133350</xdr:colOff>
      <xdr:row>22</xdr:row>
      <xdr:rowOff>38100</xdr:rowOff>
    </xdr:to>
    <xdr:pic>
      <xdr:nvPicPr>
        <xdr:cNvPr id="436" name="Imagen 1">
          <a:extLst>
            <a:ext uri="{FF2B5EF4-FFF2-40B4-BE49-F238E27FC236}">
              <a16:creationId xmlns:a16="http://schemas.microsoft.com/office/drawing/2014/main" id="{8A9549AC-AB31-4807-A9D8-79F28F1E400C}"/>
            </a:ext>
            <a:ext uri="{147F2762-F138-4A5C-976F-8EAC2B608ADB}">
              <a16:predDERef xmlns:a16="http://schemas.microsoft.com/office/drawing/2014/main" pred="{839155CF-63CC-40C3-82AB-A33043E8F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133350</xdr:colOff>
      <xdr:row>22</xdr:row>
      <xdr:rowOff>38100</xdr:rowOff>
    </xdr:to>
    <xdr:pic>
      <xdr:nvPicPr>
        <xdr:cNvPr id="437" name="Imagen 1">
          <a:extLst>
            <a:ext uri="{FF2B5EF4-FFF2-40B4-BE49-F238E27FC236}">
              <a16:creationId xmlns:a16="http://schemas.microsoft.com/office/drawing/2014/main" id="{DEE3C586-3F2A-48DA-A2EB-F5903D7EE64B}"/>
            </a:ext>
            <a:ext uri="{147F2762-F138-4A5C-976F-8EAC2B608ADB}">
              <a16:predDERef xmlns:a16="http://schemas.microsoft.com/office/drawing/2014/main" pred="{8A9549AC-AB31-4807-A9D8-79F28F1E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133350</xdr:colOff>
      <xdr:row>22</xdr:row>
      <xdr:rowOff>38100</xdr:rowOff>
    </xdr:to>
    <xdr:pic>
      <xdr:nvPicPr>
        <xdr:cNvPr id="438" name="Imagen 1">
          <a:extLst>
            <a:ext uri="{FF2B5EF4-FFF2-40B4-BE49-F238E27FC236}">
              <a16:creationId xmlns:a16="http://schemas.microsoft.com/office/drawing/2014/main" id="{E89DE429-3E54-444F-A148-7D8939F30E35}"/>
            </a:ext>
            <a:ext uri="{147F2762-F138-4A5C-976F-8EAC2B608ADB}">
              <a16:predDERef xmlns:a16="http://schemas.microsoft.com/office/drawing/2014/main" pred="{DEE3C586-3F2A-48DA-A2EB-F5903D7E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439" name="Imagen 1">
          <a:extLst>
            <a:ext uri="{FF2B5EF4-FFF2-40B4-BE49-F238E27FC236}">
              <a16:creationId xmlns:a16="http://schemas.microsoft.com/office/drawing/2014/main" id="{A9FE251A-0B96-40ED-9E30-E65C711519AB}"/>
            </a:ext>
            <a:ext uri="{147F2762-F138-4A5C-976F-8EAC2B608ADB}">
              <a16:predDERef xmlns:a16="http://schemas.microsoft.com/office/drawing/2014/main" pred="{E89DE429-3E54-444F-A148-7D8939F3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440" name="Imagen 1">
          <a:extLst>
            <a:ext uri="{FF2B5EF4-FFF2-40B4-BE49-F238E27FC236}">
              <a16:creationId xmlns:a16="http://schemas.microsoft.com/office/drawing/2014/main" id="{DBAB6331-3E1D-4C2D-8EBA-9453996010AC}"/>
            </a:ext>
            <a:ext uri="{147F2762-F138-4A5C-976F-8EAC2B608ADB}">
              <a16:predDERef xmlns:a16="http://schemas.microsoft.com/office/drawing/2014/main" pred="{A9FE251A-0B96-40ED-9E30-E65C71151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133350</xdr:colOff>
      <xdr:row>22</xdr:row>
      <xdr:rowOff>38100</xdr:rowOff>
    </xdr:to>
    <xdr:pic>
      <xdr:nvPicPr>
        <xdr:cNvPr id="441" name="Imagen 1">
          <a:extLst>
            <a:ext uri="{FF2B5EF4-FFF2-40B4-BE49-F238E27FC236}">
              <a16:creationId xmlns:a16="http://schemas.microsoft.com/office/drawing/2014/main" id="{9DD93950-6E13-4819-8114-C484F272F5AC}"/>
            </a:ext>
            <a:ext uri="{147F2762-F138-4A5C-976F-8EAC2B608ADB}">
              <a16:predDERef xmlns:a16="http://schemas.microsoft.com/office/drawing/2014/main" pred="{DBAB6331-3E1D-4C2D-8EBA-945399601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133350</xdr:colOff>
      <xdr:row>22</xdr:row>
      <xdr:rowOff>38100</xdr:rowOff>
    </xdr:to>
    <xdr:pic>
      <xdr:nvPicPr>
        <xdr:cNvPr id="442" name="Imagen 1">
          <a:extLst>
            <a:ext uri="{FF2B5EF4-FFF2-40B4-BE49-F238E27FC236}">
              <a16:creationId xmlns:a16="http://schemas.microsoft.com/office/drawing/2014/main" id="{17A816DB-676F-4C7C-8EA5-8D0ECD293822}"/>
            </a:ext>
            <a:ext uri="{147F2762-F138-4A5C-976F-8EAC2B608ADB}">
              <a16:predDERef xmlns:a16="http://schemas.microsoft.com/office/drawing/2014/main" pred="{9DD93950-6E13-4819-8114-C484F272F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4001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28575</xdr:rowOff>
    </xdr:to>
    <xdr:pic>
      <xdr:nvPicPr>
        <xdr:cNvPr id="443" name="Imagen 1">
          <a:extLst>
            <a:ext uri="{FF2B5EF4-FFF2-40B4-BE49-F238E27FC236}">
              <a16:creationId xmlns:a16="http://schemas.microsoft.com/office/drawing/2014/main" id="{F8EC66FE-4778-4324-AFB8-B45D05829460}"/>
            </a:ext>
            <a:ext uri="{147F2762-F138-4A5C-976F-8EAC2B608ADB}">
              <a16:predDERef xmlns:a16="http://schemas.microsoft.com/office/drawing/2014/main" pred="{17A816DB-676F-4C7C-8EA5-8D0ECD29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133350</xdr:colOff>
      <xdr:row>23</xdr:row>
      <xdr:rowOff>28575</xdr:rowOff>
    </xdr:to>
    <xdr:pic>
      <xdr:nvPicPr>
        <xdr:cNvPr id="444" name="Imagen 1">
          <a:extLst>
            <a:ext uri="{FF2B5EF4-FFF2-40B4-BE49-F238E27FC236}">
              <a16:creationId xmlns:a16="http://schemas.microsoft.com/office/drawing/2014/main" id="{FDB70CA0-5E7C-470A-A4EE-E4525C5E92D3}"/>
            </a:ext>
            <a:ext uri="{147F2762-F138-4A5C-976F-8EAC2B608ADB}">
              <a16:predDERef xmlns:a16="http://schemas.microsoft.com/office/drawing/2014/main" pred="{F8EC66FE-4778-4324-AFB8-B45D0582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133350</xdr:colOff>
      <xdr:row>23</xdr:row>
      <xdr:rowOff>28575</xdr:rowOff>
    </xdr:to>
    <xdr:pic>
      <xdr:nvPicPr>
        <xdr:cNvPr id="445" name="Imagen 1">
          <a:extLst>
            <a:ext uri="{FF2B5EF4-FFF2-40B4-BE49-F238E27FC236}">
              <a16:creationId xmlns:a16="http://schemas.microsoft.com/office/drawing/2014/main" id="{37906466-1077-49AB-9158-14664BB50A47}"/>
            </a:ext>
            <a:ext uri="{147F2762-F138-4A5C-976F-8EAC2B608ADB}">
              <a16:predDERef xmlns:a16="http://schemas.microsoft.com/office/drawing/2014/main" pred="{FDB70CA0-5E7C-470A-A4EE-E4525C5E9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133350</xdr:colOff>
      <xdr:row>23</xdr:row>
      <xdr:rowOff>28575</xdr:rowOff>
    </xdr:to>
    <xdr:pic>
      <xdr:nvPicPr>
        <xdr:cNvPr id="446" name="Imagen 1">
          <a:extLst>
            <a:ext uri="{FF2B5EF4-FFF2-40B4-BE49-F238E27FC236}">
              <a16:creationId xmlns:a16="http://schemas.microsoft.com/office/drawing/2014/main" id="{DE0EF7F4-B26A-49E1-AFBD-275236725C00}"/>
            </a:ext>
            <a:ext uri="{147F2762-F138-4A5C-976F-8EAC2B608ADB}">
              <a16:predDERef xmlns:a16="http://schemas.microsoft.com/office/drawing/2014/main" pred="{37906466-1077-49AB-9158-14664BB50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447" name="Imagen 1">
          <a:extLst>
            <a:ext uri="{FF2B5EF4-FFF2-40B4-BE49-F238E27FC236}">
              <a16:creationId xmlns:a16="http://schemas.microsoft.com/office/drawing/2014/main" id="{0BF3A1AD-3ECF-4DFB-9E45-9C7297E76A31}"/>
            </a:ext>
            <a:ext uri="{147F2762-F138-4A5C-976F-8EAC2B608ADB}">
              <a16:predDERef xmlns:a16="http://schemas.microsoft.com/office/drawing/2014/main" pred="{DE0EF7F4-B26A-49E1-AFBD-27523672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448" name="Imagen 1">
          <a:extLst>
            <a:ext uri="{FF2B5EF4-FFF2-40B4-BE49-F238E27FC236}">
              <a16:creationId xmlns:a16="http://schemas.microsoft.com/office/drawing/2014/main" id="{5C5650D3-72A5-4663-94F5-085D68E59FC5}"/>
            </a:ext>
            <a:ext uri="{147F2762-F138-4A5C-976F-8EAC2B608ADB}">
              <a16:predDERef xmlns:a16="http://schemas.microsoft.com/office/drawing/2014/main" pred="{0BF3A1AD-3ECF-4DFB-9E45-9C7297E7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133350</xdr:colOff>
      <xdr:row>23</xdr:row>
      <xdr:rowOff>28575</xdr:rowOff>
    </xdr:to>
    <xdr:pic>
      <xdr:nvPicPr>
        <xdr:cNvPr id="449" name="Imagen 1">
          <a:extLst>
            <a:ext uri="{FF2B5EF4-FFF2-40B4-BE49-F238E27FC236}">
              <a16:creationId xmlns:a16="http://schemas.microsoft.com/office/drawing/2014/main" id="{6CE44F42-827A-4992-84A1-3F970344672E}"/>
            </a:ext>
            <a:ext uri="{147F2762-F138-4A5C-976F-8EAC2B608ADB}">
              <a16:predDERef xmlns:a16="http://schemas.microsoft.com/office/drawing/2014/main" pred="{5C5650D3-72A5-4663-94F5-085D68E59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133350</xdr:colOff>
      <xdr:row>23</xdr:row>
      <xdr:rowOff>28575</xdr:rowOff>
    </xdr:to>
    <xdr:pic>
      <xdr:nvPicPr>
        <xdr:cNvPr id="450" name="Imagen 1">
          <a:extLst>
            <a:ext uri="{FF2B5EF4-FFF2-40B4-BE49-F238E27FC236}">
              <a16:creationId xmlns:a16="http://schemas.microsoft.com/office/drawing/2014/main" id="{0FC76FE2-E956-4A3D-9518-B0BF18C5FEC4}"/>
            </a:ext>
            <a:ext uri="{147F2762-F138-4A5C-976F-8EAC2B608ADB}">
              <a16:predDERef xmlns:a16="http://schemas.microsoft.com/office/drawing/2014/main" pred="{6CE44F42-827A-4992-84A1-3F970344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600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28575</xdr:rowOff>
    </xdr:to>
    <xdr:pic>
      <xdr:nvPicPr>
        <xdr:cNvPr id="451" name="Imagen 1">
          <a:extLst>
            <a:ext uri="{FF2B5EF4-FFF2-40B4-BE49-F238E27FC236}">
              <a16:creationId xmlns:a16="http://schemas.microsoft.com/office/drawing/2014/main" id="{1057C8A5-3B04-4B01-83CA-5512088B63E1}"/>
            </a:ext>
            <a:ext uri="{147F2762-F138-4A5C-976F-8EAC2B608ADB}">
              <a16:predDERef xmlns:a16="http://schemas.microsoft.com/office/drawing/2014/main" pred="{0FC76FE2-E956-4A3D-9518-B0BF18C5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133350</xdr:colOff>
      <xdr:row>24</xdr:row>
      <xdr:rowOff>28575</xdr:rowOff>
    </xdr:to>
    <xdr:pic>
      <xdr:nvPicPr>
        <xdr:cNvPr id="452" name="Imagen 1">
          <a:extLst>
            <a:ext uri="{FF2B5EF4-FFF2-40B4-BE49-F238E27FC236}">
              <a16:creationId xmlns:a16="http://schemas.microsoft.com/office/drawing/2014/main" id="{74B84DF6-A7B5-48CA-8A7D-92687A1C1720}"/>
            </a:ext>
            <a:ext uri="{147F2762-F138-4A5C-976F-8EAC2B608ADB}">
              <a16:predDERef xmlns:a16="http://schemas.microsoft.com/office/drawing/2014/main" pred="{1057C8A5-3B04-4B01-83CA-5512088B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133350</xdr:colOff>
      <xdr:row>24</xdr:row>
      <xdr:rowOff>28575</xdr:rowOff>
    </xdr:to>
    <xdr:pic>
      <xdr:nvPicPr>
        <xdr:cNvPr id="453" name="Imagen 1">
          <a:extLst>
            <a:ext uri="{FF2B5EF4-FFF2-40B4-BE49-F238E27FC236}">
              <a16:creationId xmlns:a16="http://schemas.microsoft.com/office/drawing/2014/main" id="{7E6F96CF-9A82-4941-AABA-0FF435F9E493}"/>
            </a:ext>
            <a:ext uri="{147F2762-F138-4A5C-976F-8EAC2B608ADB}">
              <a16:predDERef xmlns:a16="http://schemas.microsoft.com/office/drawing/2014/main" pred="{74B84DF6-A7B5-48CA-8A7D-92687A1C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133350</xdr:colOff>
      <xdr:row>24</xdr:row>
      <xdr:rowOff>28575</xdr:rowOff>
    </xdr:to>
    <xdr:pic>
      <xdr:nvPicPr>
        <xdr:cNvPr id="454" name="Imagen 1">
          <a:extLst>
            <a:ext uri="{FF2B5EF4-FFF2-40B4-BE49-F238E27FC236}">
              <a16:creationId xmlns:a16="http://schemas.microsoft.com/office/drawing/2014/main" id="{457F1BBF-1943-4C1A-B1EA-79D2C3700CC6}"/>
            </a:ext>
            <a:ext uri="{147F2762-F138-4A5C-976F-8EAC2B608ADB}">
              <a16:predDERef xmlns:a16="http://schemas.microsoft.com/office/drawing/2014/main" pred="{7E6F96CF-9A82-4941-AABA-0FF435F9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455" name="Imagen 1">
          <a:extLst>
            <a:ext uri="{FF2B5EF4-FFF2-40B4-BE49-F238E27FC236}">
              <a16:creationId xmlns:a16="http://schemas.microsoft.com/office/drawing/2014/main" id="{5DDD36C4-4163-4B65-8CFE-A58669769886}"/>
            </a:ext>
            <a:ext uri="{147F2762-F138-4A5C-976F-8EAC2B608ADB}">
              <a16:predDERef xmlns:a16="http://schemas.microsoft.com/office/drawing/2014/main" pred="{457F1BBF-1943-4C1A-B1EA-79D2C370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456" name="Imagen 1">
          <a:extLst>
            <a:ext uri="{FF2B5EF4-FFF2-40B4-BE49-F238E27FC236}">
              <a16:creationId xmlns:a16="http://schemas.microsoft.com/office/drawing/2014/main" id="{6D2F73E2-AAF7-4829-831B-11F9A24A2180}"/>
            </a:ext>
            <a:ext uri="{147F2762-F138-4A5C-976F-8EAC2B608ADB}">
              <a16:predDERef xmlns:a16="http://schemas.microsoft.com/office/drawing/2014/main" pred="{5DDD36C4-4163-4B65-8CFE-A5866976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133350</xdr:colOff>
      <xdr:row>23</xdr:row>
      <xdr:rowOff>28575</xdr:rowOff>
    </xdr:to>
    <xdr:pic>
      <xdr:nvPicPr>
        <xdr:cNvPr id="457" name="Imagen 1">
          <a:extLst>
            <a:ext uri="{FF2B5EF4-FFF2-40B4-BE49-F238E27FC236}">
              <a16:creationId xmlns:a16="http://schemas.microsoft.com/office/drawing/2014/main" id="{B0F81EA7-D3B1-449A-897C-5BC41AD8D23B}"/>
            </a:ext>
            <a:ext uri="{147F2762-F138-4A5C-976F-8EAC2B608ADB}">
              <a16:predDERef xmlns:a16="http://schemas.microsoft.com/office/drawing/2014/main" pred="{6D2F73E2-AAF7-4829-831B-11F9A24A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133350</xdr:colOff>
      <xdr:row>24</xdr:row>
      <xdr:rowOff>28575</xdr:rowOff>
    </xdr:to>
    <xdr:pic>
      <xdr:nvPicPr>
        <xdr:cNvPr id="458" name="Imagen 1">
          <a:extLst>
            <a:ext uri="{FF2B5EF4-FFF2-40B4-BE49-F238E27FC236}">
              <a16:creationId xmlns:a16="http://schemas.microsoft.com/office/drawing/2014/main" id="{831DDB15-C4D4-4D3F-A3F1-C8DD39F9E090}"/>
            </a:ext>
            <a:ext uri="{147F2762-F138-4A5C-976F-8EAC2B608ADB}">
              <a16:predDERef xmlns:a16="http://schemas.microsoft.com/office/drawing/2014/main" pred="{B0F81EA7-D3B1-449A-897C-5BC41AD8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1800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133350</xdr:colOff>
      <xdr:row>25</xdr:row>
      <xdr:rowOff>28575</xdr:rowOff>
    </xdr:to>
    <xdr:pic>
      <xdr:nvPicPr>
        <xdr:cNvPr id="459" name="Imagen 1">
          <a:extLst>
            <a:ext uri="{FF2B5EF4-FFF2-40B4-BE49-F238E27FC236}">
              <a16:creationId xmlns:a16="http://schemas.microsoft.com/office/drawing/2014/main" id="{07F009E5-9D90-4D29-8DF5-EEEA1A62FA80}"/>
            </a:ext>
            <a:ext uri="{147F2762-F138-4A5C-976F-8EAC2B608ADB}">
              <a16:predDERef xmlns:a16="http://schemas.microsoft.com/office/drawing/2014/main" pred="{831DDB15-C4D4-4D3F-A3F1-C8DD39F9E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51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133350</xdr:colOff>
      <xdr:row>25</xdr:row>
      <xdr:rowOff>28575</xdr:rowOff>
    </xdr:to>
    <xdr:pic>
      <xdr:nvPicPr>
        <xdr:cNvPr id="460" name="Imagen 1">
          <a:extLst>
            <a:ext uri="{FF2B5EF4-FFF2-40B4-BE49-F238E27FC236}">
              <a16:creationId xmlns:a16="http://schemas.microsoft.com/office/drawing/2014/main" id="{90879BBD-006C-4C6D-9F4D-4E11E5472082}"/>
            </a:ext>
            <a:ext uri="{147F2762-F138-4A5C-976F-8EAC2B608ADB}">
              <a16:predDERef xmlns:a16="http://schemas.microsoft.com/office/drawing/2014/main" pred="{07F009E5-9D90-4D29-8DF5-EEEA1A62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133350</xdr:colOff>
      <xdr:row>25</xdr:row>
      <xdr:rowOff>28575</xdr:rowOff>
    </xdr:to>
    <xdr:pic>
      <xdr:nvPicPr>
        <xdr:cNvPr id="461" name="Imagen 1">
          <a:extLst>
            <a:ext uri="{FF2B5EF4-FFF2-40B4-BE49-F238E27FC236}">
              <a16:creationId xmlns:a16="http://schemas.microsoft.com/office/drawing/2014/main" id="{B4173518-EDA1-491F-B675-CBD5ECC74C04}"/>
            </a:ext>
            <a:ext uri="{147F2762-F138-4A5C-976F-8EAC2B608ADB}">
              <a16:predDERef xmlns:a16="http://schemas.microsoft.com/office/drawing/2014/main" pred="{90879BBD-006C-4C6D-9F4D-4E11E5472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133350</xdr:colOff>
      <xdr:row>25</xdr:row>
      <xdr:rowOff>28575</xdr:rowOff>
    </xdr:to>
    <xdr:pic>
      <xdr:nvPicPr>
        <xdr:cNvPr id="462" name="Imagen 1">
          <a:extLst>
            <a:ext uri="{FF2B5EF4-FFF2-40B4-BE49-F238E27FC236}">
              <a16:creationId xmlns:a16="http://schemas.microsoft.com/office/drawing/2014/main" id="{AA00964B-1AE6-4CCD-85BE-C3E41A731A40}"/>
            </a:ext>
            <a:ext uri="{147F2762-F138-4A5C-976F-8EAC2B608ADB}">
              <a16:predDERef xmlns:a16="http://schemas.microsoft.com/office/drawing/2014/main" pred="{B4173518-EDA1-491F-B675-CBD5ECC74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463" name="Imagen 1">
          <a:extLst>
            <a:ext uri="{FF2B5EF4-FFF2-40B4-BE49-F238E27FC236}">
              <a16:creationId xmlns:a16="http://schemas.microsoft.com/office/drawing/2014/main" id="{82DF9F35-A503-4B4D-AC50-A1BCF150C5DA}"/>
            </a:ext>
            <a:ext uri="{147F2762-F138-4A5C-976F-8EAC2B608ADB}">
              <a16:predDERef xmlns:a16="http://schemas.microsoft.com/office/drawing/2014/main" pred="{AA00964B-1AE6-4CCD-85BE-C3E41A73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464" name="Imagen 1">
          <a:extLst>
            <a:ext uri="{FF2B5EF4-FFF2-40B4-BE49-F238E27FC236}">
              <a16:creationId xmlns:a16="http://schemas.microsoft.com/office/drawing/2014/main" id="{4D511990-F9FF-4808-A448-6D3F2D5CE92F}"/>
            </a:ext>
            <a:ext uri="{147F2762-F138-4A5C-976F-8EAC2B608ADB}">
              <a16:predDERef xmlns:a16="http://schemas.microsoft.com/office/drawing/2014/main" pred="{82DF9F35-A503-4B4D-AC50-A1BCF150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133350</xdr:colOff>
      <xdr:row>24</xdr:row>
      <xdr:rowOff>28575</xdr:rowOff>
    </xdr:to>
    <xdr:pic>
      <xdr:nvPicPr>
        <xdr:cNvPr id="465" name="Imagen 1">
          <a:extLst>
            <a:ext uri="{FF2B5EF4-FFF2-40B4-BE49-F238E27FC236}">
              <a16:creationId xmlns:a16="http://schemas.microsoft.com/office/drawing/2014/main" id="{A7477011-7623-4160-9061-5FA3431E65BB}"/>
            </a:ext>
            <a:ext uri="{147F2762-F138-4A5C-976F-8EAC2B608ADB}">
              <a16:predDERef xmlns:a16="http://schemas.microsoft.com/office/drawing/2014/main" pred="{4D511990-F9FF-4808-A448-6D3F2D5C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133350</xdr:colOff>
      <xdr:row>25</xdr:row>
      <xdr:rowOff>28575</xdr:rowOff>
    </xdr:to>
    <xdr:pic>
      <xdr:nvPicPr>
        <xdr:cNvPr id="466" name="Imagen 1">
          <a:extLst>
            <a:ext uri="{FF2B5EF4-FFF2-40B4-BE49-F238E27FC236}">
              <a16:creationId xmlns:a16="http://schemas.microsoft.com/office/drawing/2014/main" id="{96BFCCDE-A65D-457E-B69A-11000752E910}"/>
            </a:ext>
            <a:ext uri="{147F2762-F138-4A5C-976F-8EAC2B608ADB}">
              <a16:predDERef xmlns:a16="http://schemas.microsoft.com/office/drawing/2014/main" pred="{A7477011-7623-4160-9061-5FA3431E6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7450" y="2000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133350</xdr:colOff>
      <xdr:row>16</xdr:row>
      <xdr:rowOff>38100</xdr:rowOff>
    </xdr:to>
    <xdr:pic>
      <xdr:nvPicPr>
        <xdr:cNvPr id="467" name="Imagen 1">
          <a:extLst>
            <a:ext uri="{FF2B5EF4-FFF2-40B4-BE49-F238E27FC236}">
              <a16:creationId xmlns:a16="http://schemas.microsoft.com/office/drawing/2014/main" id="{8D5FE2B0-92E2-4D13-BF45-97E705A658DE}"/>
            </a:ext>
            <a:ext uri="{147F2762-F138-4A5C-976F-8EAC2B608ADB}">
              <a16:predDERef xmlns:a16="http://schemas.microsoft.com/office/drawing/2014/main" pred="{96BFCCDE-A65D-457E-B69A-11000752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278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133350</xdr:colOff>
      <xdr:row>16</xdr:row>
      <xdr:rowOff>38100</xdr:rowOff>
    </xdr:to>
    <xdr:pic>
      <xdr:nvPicPr>
        <xdr:cNvPr id="468" name="Imagen 1">
          <a:extLst>
            <a:ext uri="{FF2B5EF4-FFF2-40B4-BE49-F238E27FC236}">
              <a16:creationId xmlns:a16="http://schemas.microsoft.com/office/drawing/2014/main" id="{DFCC6911-700C-4588-B7CF-5354A9D490AF}"/>
            </a:ext>
            <a:ext uri="{147F2762-F138-4A5C-976F-8EAC2B608ADB}">
              <a16:predDERef xmlns:a16="http://schemas.microsoft.com/office/drawing/2014/main" pred="{8D5FE2B0-92E2-4D13-BF45-97E705A65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278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133350</xdr:colOff>
      <xdr:row>3</xdr:row>
      <xdr:rowOff>38100</xdr:rowOff>
    </xdr:to>
    <xdr:pic>
      <xdr:nvPicPr>
        <xdr:cNvPr id="469" name="Imagen 1">
          <a:extLst>
            <a:ext uri="{FF2B5EF4-FFF2-40B4-BE49-F238E27FC236}">
              <a16:creationId xmlns:a16="http://schemas.microsoft.com/office/drawing/2014/main" id="{39B2CC74-B160-4CC6-9ADE-EECA20EAC496}"/>
            </a:ext>
            <a:ext uri="{147F2762-F138-4A5C-976F-8EAC2B608ADB}">
              <a16:predDERef xmlns:a16="http://schemas.microsoft.com/office/drawing/2014/main" pred="{DFCC6911-700C-4588-B7CF-5354A9D4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278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133350</xdr:colOff>
      <xdr:row>3</xdr:row>
      <xdr:rowOff>38100</xdr:rowOff>
    </xdr:to>
    <xdr:pic>
      <xdr:nvPicPr>
        <xdr:cNvPr id="470" name="Imagen 1">
          <a:extLst>
            <a:ext uri="{FF2B5EF4-FFF2-40B4-BE49-F238E27FC236}">
              <a16:creationId xmlns:a16="http://schemas.microsoft.com/office/drawing/2014/main" id="{15DD4C72-73A8-4756-848C-0E7B6A422A5C}"/>
            </a:ext>
            <a:ext uri="{147F2762-F138-4A5C-976F-8EAC2B608ADB}">
              <a16:predDERef xmlns:a16="http://schemas.microsoft.com/office/drawing/2014/main" pred="{39B2CC74-B160-4CC6-9ADE-EECA20EAC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278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133350</xdr:colOff>
      <xdr:row>16</xdr:row>
      <xdr:rowOff>38100</xdr:rowOff>
    </xdr:to>
    <xdr:pic>
      <xdr:nvPicPr>
        <xdr:cNvPr id="471" name="Imagen 1">
          <a:extLst>
            <a:ext uri="{FF2B5EF4-FFF2-40B4-BE49-F238E27FC236}">
              <a16:creationId xmlns:a16="http://schemas.microsoft.com/office/drawing/2014/main" id="{D07FCE96-1D7F-4A3E-9824-967ACDE38ACA}"/>
            </a:ext>
            <a:ext uri="{147F2762-F138-4A5C-976F-8EAC2B608ADB}">
              <a16:predDERef xmlns:a16="http://schemas.microsoft.com/office/drawing/2014/main" pred="{15DD4C72-73A8-4756-848C-0E7B6A42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133350</xdr:colOff>
      <xdr:row>16</xdr:row>
      <xdr:rowOff>38100</xdr:rowOff>
    </xdr:to>
    <xdr:pic>
      <xdr:nvPicPr>
        <xdr:cNvPr id="472" name="Imagen 1">
          <a:extLst>
            <a:ext uri="{FF2B5EF4-FFF2-40B4-BE49-F238E27FC236}">
              <a16:creationId xmlns:a16="http://schemas.microsoft.com/office/drawing/2014/main" id="{EDB965CE-3ADA-4D69-AC0F-526B4B415542}"/>
            </a:ext>
            <a:ext uri="{147F2762-F138-4A5C-976F-8EAC2B608ADB}">
              <a16:predDERef xmlns:a16="http://schemas.microsoft.com/office/drawing/2014/main" pred="{D07FCE96-1D7F-4A3E-9824-967ACDE3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2000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133350</xdr:colOff>
      <xdr:row>3</xdr:row>
      <xdr:rowOff>38100</xdr:rowOff>
    </xdr:to>
    <xdr:pic>
      <xdr:nvPicPr>
        <xdr:cNvPr id="473" name="Imagen 1">
          <a:extLst>
            <a:ext uri="{FF2B5EF4-FFF2-40B4-BE49-F238E27FC236}">
              <a16:creationId xmlns:a16="http://schemas.microsoft.com/office/drawing/2014/main" id="{729799B2-0A12-454F-A4BE-E47E1A008146}"/>
            </a:ext>
            <a:ext uri="{147F2762-F138-4A5C-976F-8EAC2B608ADB}">
              <a16:predDERef xmlns:a16="http://schemas.microsoft.com/office/drawing/2014/main" pred="{EDB965CE-3ADA-4D69-AC0F-526B4B41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38100</xdr:rowOff>
    </xdr:to>
    <xdr:pic>
      <xdr:nvPicPr>
        <xdr:cNvPr id="474" name="Imagen 1">
          <a:extLst>
            <a:ext uri="{FF2B5EF4-FFF2-40B4-BE49-F238E27FC236}">
              <a16:creationId xmlns:a16="http://schemas.microsoft.com/office/drawing/2014/main" id="{28E4F65A-4179-4289-9B44-6461F08565BB}"/>
            </a:ext>
            <a:ext uri="{147F2762-F138-4A5C-976F-8EAC2B608ADB}">
              <a16:predDERef xmlns:a16="http://schemas.microsoft.com/office/drawing/2014/main" pred="{729799B2-0A12-454F-A4BE-E47E1A00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381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38100</xdr:rowOff>
    </xdr:to>
    <xdr:pic>
      <xdr:nvPicPr>
        <xdr:cNvPr id="475" name="Imagen 1">
          <a:extLst>
            <a:ext uri="{FF2B5EF4-FFF2-40B4-BE49-F238E27FC236}">
              <a16:creationId xmlns:a16="http://schemas.microsoft.com/office/drawing/2014/main" id="{65C211EF-F2B0-4BB3-9D9E-E6457A0AF515}"/>
            </a:ext>
            <a:ext uri="{147F2762-F138-4A5C-976F-8EAC2B608ADB}">
              <a16:predDERef xmlns:a16="http://schemas.microsoft.com/office/drawing/2014/main" pred="{28E4F65A-4179-4289-9B44-6461F0856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571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38100</xdr:rowOff>
    </xdr:to>
    <xdr:pic>
      <xdr:nvPicPr>
        <xdr:cNvPr id="476" name="Imagen 1">
          <a:extLst>
            <a:ext uri="{FF2B5EF4-FFF2-40B4-BE49-F238E27FC236}">
              <a16:creationId xmlns:a16="http://schemas.microsoft.com/office/drawing/2014/main" id="{70A26DFB-91DC-4AA9-B8CC-2F29E3646ED0}"/>
            </a:ext>
            <a:ext uri="{147F2762-F138-4A5C-976F-8EAC2B608ADB}">
              <a16:predDERef xmlns:a16="http://schemas.microsoft.com/office/drawing/2014/main" pred="{65C211EF-F2B0-4BB3-9D9E-E6457A0A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762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38100</xdr:rowOff>
    </xdr:to>
    <xdr:pic>
      <xdr:nvPicPr>
        <xdr:cNvPr id="477" name="Imagen 1">
          <a:extLst>
            <a:ext uri="{FF2B5EF4-FFF2-40B4-BE49-F238E27FC236}">
              <a16:creationId xmlns:a16="http://schemas.microsoft.com/office/drawing/2014/main" id="{AEE0D636-189D-4765-B5EF-1DAF7AE248C7}"/>
            </a:ext>
            <a:ext uri="{147F2762-F138-4A5C-976F-8EAC2B608ADB}">
              <a16:predDERef xmlns:a16="http://schemas.microsoft.com/office/drawing/2014/main" pred="{70A26DFB-91DC-4AA9-B8CC-2F29E3646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952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38100</xdr:rowOff>
    </xdr:to>
    <xdr:pic>
      <xdr:nvPicPr>
        <xdr:cNvPr id="478" name="Imagen 1">
          <a:extLst>
            <a:ext uri="{FF2B5EF4-FFF2-40B4-BE49-F238E27FC236}">
              <a16:creationId xmlns:a16="http://schemas.microsoft.com/office/drawing/2014/main" id="{77575FB5-31C2-47A1-B611-0CFCA90DC1BD}"/>
            </a:ext>
            <a:ext uri="{147F2762-F138-4A5C-976F-8EAC2B608ADB}">
              <a16:predDERef xmlns:a16="http://schemas.microsoft.com/office/drawing/2014/main" pred="{AEE0D636-189D-4765-B5EF-1DAF7AE24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143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38100</xdr:rowOff>
    </xdr:to>
    <xdr:pic>
      <xdr:nvPicPr>
        <xdr:cNvPr id="479" name="Imagen 1">
          <a:extLst>
            <a:ext uri="{FF2B5EF4-FFF2-40B4-BE49-F238E27FC236}">
              <a16:creationId xmlns:a16="http://schemas.microsoft.com/office/drawing/2014/main" id="{A4BDC344-EED5-4A84-AB48-DB83F564E4CD}"/>
            </a:ext>
            <a:ext uri="{147F2762-F138-4A5C-976F-8EAC2B608ADB}">
              <a16:predDERef xmlns:a16="http://schemas.microsoft.com/office/drawing/2014/main" pred="{77575FB5-31C2-47A1-B611-0CFCA90D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33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28575</xdr:rowOff>
    </xdr:to>
    <xdr:pic>
      <xdr:nvPicPr>
        <xdr:cNvPr id="480" name="Imagen 1">
          <a:extLst>
            <a:ext uri="{FF2B5EF4-FFF2-40B4-BE49-F238E27FC236}">
              <a16:creationId xmlns:a16="http://schemas.microsoft.com/office/drawing/2014/main" id="{088C9118-5E84-4447-A404-A9CD66C03F7F}"/>
            </a:ext>
            <a:ext uri="{147F2762-F138-4A5C-976F-8EAC2B608ADB}">
              <a16:predDERef xmlns:a16="http://schemas.microsoft.com/office/drawing/2014/main" pred="{A4BDC344-EED5-4A84-AB48-DB83F564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524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28575</xdr:rowOff>
    </xdr:to>
    <xdr:pic>
      <xdr:nvPicPr>
        <xdr:cNvPr id="481" name="Imagen 1">
          <a:extLst>
            <a:ext uri="{FF2B5EF4-FFF2-40B4-BE49-F238E27FC236}">
              <a16:creationId xmlns:a16="http://schemas.microsoft.com/office/drawing/2014/main" id="{CDDA4D27-840C-4E0D-91EF-B251AD204F9B}"/>
            </a:ext>
            <a:ext uri="{147F2762-F138-4A5C-976F-8EAC2B608ADB}">
              <a16:predDERef xmlns:a16="http://schemas.microsoft.com/office/drawing/2014/main" pred="{088C9118-5E84-4447-A404-A9CD66C03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714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28575</xdr:rowOff>
    </xdr:to>
    <xdr:pic>
      <xdr:nvPicPr>
        <xdr:cNvPr id="482" name="Imagen 1">
          <a:extLst>
            <a:ext uri="{FF2B5EF4-FFF2-40B4-BE49-F238E27FC236}">
              <a16:creationId xmlns:a16="http://schemas.microsoft.com/office/drawing/2014/main" id="{223C26D2-8BFE-414B-90DF-0589F73926A5}"/>
            </a:ext>
            <a:ext uri="{147F2762-F138-4A5C-976F-8EAC2B608ADB}">
              <a16:predDERef xmlns:a16="http://schemas.microsoft.com/office/drawing/2014/main" pred="{CDDA4D27-840C-4E0D-91EF-B251AD20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905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38100</xdr:rowOff>
    </xdr:to>
    <xdr:pic>
      <xdr:nvPicPr>
        <xdr:cNvPr id="483" name="Imagen 1">
          <a:extLst>
            <a:ext uri="{FF2B5EF4-FFF2-40B4-BE49-F238E27FC236}">
              <a16:creationId xmlns:a16="http://schemas.microsoft.com/office/drawing/2014/main" id="{6F83C2F1-7ECA-4754-873A-7974EFD3C594}"/>
            </a:ext>
            <a:ext uri="{147F2762-F138-4A5C-976F-8EAC2B608ADB}">
              <a16:predDERef xmlns:a16="http://schemas.microsoft.com/office/drawing/2014/main" pred="{223C26D2-8BFE-414B-90DF-0589F7392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381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38100</xdr:rowOff>
    </xdr:to>
    <xdr:pic>
      <xdr:nvPicPr>
        <xdr:cNvPr id="484" name="Imagen 1">
          <a:extLst>
            <a:ext uri="{FF2B5EF4-FFF2-40B4-BE49-F238E27FC236}">
              <a16:creationId xmlns:a16="http://schemas.microsoft.com/office/drawing/2014/main" id="{15EB0655-12B5-43D4-94A4-01D3821BEB63}"/>
            </a:ext>
            <a:ext uri="{147F2762-F138-4A5C-976F-8EAC2B608ADB}">
              <a16:predDERef xmlns:a16="http://schemas.microsoft.com/office/drawing/2014/main" pred="{6F83C2F1-7ECA-4754-873A-7974EFD3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571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38100</xdr:rowOff>
    </xdr:to>
    <xdr:pic>
      <xdr:nvPicPr>
        <xdr:cNvPr id="485" name="Imagen 1">
          <a:extLst>
            <a:ext uri="{FF2B5EF4-FFF2-40B4-BE49-F238E27FC236}">
              <a16:creationId xmlns:a16="http://schemas.microsoft.com/office/drawing/2014/main" id="{0D0138BF-4151-4CDF-A77F-3E5297E5C390}"/>
            </a:ext>
            <a:ext uri="{147F2762-F138-4A5C-976F-8EAC2B608ADB}">
              <a16:predDERef xmlns:a16="http://schemas.microsoft.com/office/drawing/2014/main" pred="{15EB0655-12B5-43D4-94A4-01D3821B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762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38100</xdr:rowOff>
    </xdr:to>
    <xdr:pic>
      <xdr:nvPicPr>
        <xdr:cNvPr id="486" name="Imagen 1">
          <a:extLst>
            <a:ext uri="{FF2B5EF4-FFF2-40B4-BE49-F238E27FC236}">
              <a16:creationId xmlns:a16="http://schemas.microsoft.com/office/drawing/2014/main" id="{E00A9173-E617-42C2-89DF-BBB5128C2368}"/>
            </a:ext>
            <a:ext uri="{147F2762-F138-4A5C-976F-8EAC2B608ADB}">
              <a16:predDERef xmlns:a16="http://schemas.microsoft.com/office/drawing/2014/main" pred="{0D0138BF-4151-4CDF-A77F-3E5297E5C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952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38100</xdr:rowOff>
    </xdr:to>
    <xdr:pic>
      <xdr:nvPicPr>
        <xdr:cNvPr id="487" name="Imagen 1">
          <a:extLst>
            <a:ext uri="{FF2B5EF4-FFF2-40B4-BE49-F238E27FC236}">
              <a16:creationId xmlns:a16="http://schemas.microsoft.com/office/drawing/2014/main" id="{DEC36F07-2B48-4198-B6AB-925D2761B8E7}"/>
            </a:ext>
            <a:ext uri="{147F2762-F138-4A5C-976F-8EAC2B608ADB}">
              <a16:predDERef xmlns:a16="http://schemas.microsoft.com/office/drawing/2014/main" pred="{E00A9173-E617-42C2-89DF-BBB5128C2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143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38100</xdr:rowOff>
    </xdr:to>
    <xdr:pic>
      <xdr:nvPicPr>
        <xdr:cNvPr id="488" name="Imagen 1">
          <a:extLst>
            <a:ext uri="{FF2B5EF4-FFF2-40B4-BE49-F238E27FC236}">
              <a16:creationId xmlns:a16="http://schemas.microsoft.com/office/drawing/2014/main" id="{9AF5D623-FAFD-43A9-935D-A5D7B4B5ED47}"/>
            </a:ext>
            <a:ext uri="{147F2762-F138-4A5C-976F-8EAC2B608ADB}">
              <a16:predDERef xmlns:a16="http://schemas.microsoft.com/office/drawing/2014/main" pred="{DEC36F07-2B48-4198-B6AB-925D2761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33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28575</xdr:rowOff>
    </xdr:to>
    <xdr:pic>
      <xdr:nvPicPr>
        <xdr:cNvPr id="489" name="Imagen 1">
          <a:extLst>
            <a:ext uri="{FF2B5EF4-FFF2-40B4-BE49-F238E27FC236}">
              <a16:creationId xmlns:a16="http://schemas.microsoft.com/office/drawing/2014/main" id="{F60A60F0-F4A5-4094-B6F9-CBCED2A97948}"/>
            </a:ext>
            <a:ext uri="{147F2762-F138-4A5C-976F-8EAC2B608ADB}">
              <a16:predDERef xmlns:a16="http://schemas.microsoft.com/office/drawing/2014/main" pred="{9AF5D623-FAFD-43A9-935D-A5D7B4B5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524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28575</xdr:rowOff>
    </xdr:to>
    <xdr:pic>
      <xdr:nvPicPr>
        <xdr:cNvPr id="490" name="Imagen 1">
          <a:extLst>
            <a:ext uri="{FF2B5EF4-FFF2-40B4-BE49-F238E27FC236}">
              <a16:creationId xmlns:a16="http://schemas.microsoft.com/office/drawing/2014/main" id="{F38E44CE-AB4E-4085-9432-45A411DEEDEE}"/>
            </a:ext>
            <a:ext uri="{147F2762-F138-4A5C-976F-8EAC2B608ADB}">
              <a16:predDERef xmlns:a16="http://schemas.microsoft.com/office/drawing/2014/main" pred="{F60A60F0-F4A5-4094-B6F9-CBCED2A9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714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28575</xdr:rowOff>
    </xdr:to>
    <xdr:pic>
      <xdr:nvPicPr>
        <xdr:cNvPr id="491" name="Imagen 1">
          <a:extLst>
            <a:ext uri="{FF2B5EF4-FFF2-40B4-BE49-F238E27FC236}">
              <a16:creationId xmlns:a16="http://schemas.microsoft.com/office/drawing/2014/main" id="{DF28827F-E591-4FE3-84B1-0F742E6735F1}"/>
            </a:ext>
            <a:ext uri="{147F2762-F138-4A5C-976F-8EAC2B608ADB}">
              <a16:predDERef xmlns:a16="http://schemas.microsoft.com/office/drawing/2014/main" pred="{F38E44CE-AB4E-4085-9432-45A411DEE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905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38100</xdr:rowOff>
    </xdr:to>
    <xdr:pic>
      <xdr:nvPicPr>
        <xdr:cNvPr id="492" name="Imagen 1">
          <a:extLst>
            <a:ext uri="{FF2B5EF4-FFF2-40B4-BE49-F238E27FC236}">
              <a16:creationId xmlns:a16="http://schemas.microsoft.com/office/drawing/2014/main" id="{0FD6D0C1-32F5-4367-ADF6-D44F8B534DA3}"/>
            </a:ext>
            <a:ext uri="{147F2762-F138-4A5C-976F-8EAC2B608ADB}">
              <a16:predDERef xmlns:a16="http://schemas.microsoft.com/office/drawing/2014/main" pred="{DF28827F-E591-4FE3-84B1-0F742E673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38100</xdr:rowOff>
    </xdr:to>
    <xdr:pic>
      <xdr:nvPicPr>
        <xdr:cNvPr id="493" name="Imagen 1">
          <a:extLst>
            <a:ext uri="{FF2B5EF4-FFF2-40B4-BE49-F238E27FC236}">
              <a16:creationId xmlns:a16="http://schemas.microsoft.com/office/drawing/2014/main" id="{EED677E7-5453-4EEB-A1E2-81DBF7F36E6B}"/>
            </a:ext>
            <a:ext uri="{147F2762-F138-4A5C-976F-8EAC2B608ADB}">
              <a16:predDERef xmlns:a16="http://schemas.microsoft.com/office/drawing/2014/main" pred="{0FD6D0C1-32F5-4367-ADF6-D44F8B534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38100</xdr:rowOff>
    </xdr:to>
    <xdr:pic>
      <xdr:nvPicPr>
        <xdr:cNvPr id="494" name="Imagen 1">
          <a:extLst>
            <a:ext uri="{FF2B5EF4-FFF2-40B4-BE49-F238E27FC236}">
              <a16:creationId xmlns:a16="http://schemas.microsoft.com/office/drawing/2014/main" id="{9A9F60C1-E2C2-4D32-BEBD-3D5D890DEFF3}"/>
            </a:ext>
            <a:ext uri="{147F2762-F138-4A5C-976F-8EAC2B608ADB}">
              <a16:predDERef xmlns:a16="http://schemas.microsoft.com/office/drawing/2014/main" pred="{EED677E7-5453-4EEB-A1E2-81DBF7F36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38100</xdr:rowOff>
    </xdr:to>
    <xdr:pic>
      <xdr:nvPicPr>
        <xdr:cNvPr id="495" name="Imagen 1">
          <a:extLst>
            <a:ext uri="{FF2B5EF4-FFF2-40B4-BE49-F238E27FC236}">
              <a16:creationId xmlns:a16="http://schemas.microsoft.com/office/drawing/2014/main" id="{F26BD88E-C4D3-4058-97E7-5A613CEAA480}"/>
            </a:ext>
            <a:ext uri="{147F2762-F138-4A5C-976F-8EAC2B608ADB}">
              <a16:predDERef xmlns:a16="http://schemas.microsoft.com/office/drawing/2014/main" pred="{9A9F60C1-E2C2-4D32-BEBD-3D5D890DE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38100</xdr:rowOff>
    </xdr:to>
    <xdr:pic>
      <xdr:nvPicPr>
        <xdr:cNvPr id="496" name="Imagen 1">
          <a:extLst>
            <a:ext uri="{FF2B5EF4-FFF2-40B4-BE49-F238E27FC236}">
              <a16:creationId xmlns:a16="http://schemas.microsoft.com/office/drawing/2014/main" id="{A6FDD163-CA04-4B9C-9817-D3084C7D89AC}"/>
            </a:ext>
            <a:ext uri="{147F2762-F138-4A5C-976F-8EAC2B608ADB}">
              <a16:predDERef xmlns:a16="http://schemas.microsoft.com/office/drawing/2014/main" pred="{F26BD88E-C4D3-4058-97E7-5A613CEA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38100</xdr:rowOff>
    </xdr:to>
    <xdr:pic>
      <xdr:nvPicPr>
        <xdr:cNvPr id="497" name="Imagen 1">
          <a:extLst>
            <a:ext uri="{FF2B5EF4-FFF2-40B4-BE49-F238E27FC236}">
              <a16:creationId xmlns:a16="http://schemas.microsoft.com/office/drawing/2014/main" id="{661393B6-44C7-497B-A1A4-E87A089586ED}"/>
            </a:ext>
            <a:ext uri="{147F2762-F138-4A5C-976F-8EAC2B608ADB}">
              <a16:predDERef xmlns:a16="http://schemas.microsoft.com/office/drawing/2014/main" pred="{A6FDD163-CA04-4B9C-9817-D3084C7D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28575</xdr:rowOff>
    </xdr:to>
    <xdr:pic>
      <xdr:nvPicPr>
        <xdr:cNvPr id="498" name="Imagen 1">
          <a:extLst>
            <a:ext uri="{FF2B5EF4-FFF2-40B4-BE49-F238E27FC236}">
              <a16:creationId xmlns:a16="http://schemas.microsoft.com/office/drawing/2014/main" id="{7E4F08A6-0173-4767-887D-EFE0176C3557}"/>
            </a:ext>
            <a:ext uri="{147F2762-F138-4A5C-976F-8EAC2B608ADB}">
              <a16:predDERef xmlns:a16="http://schemas.microsoft.com/office/drawing/2014/main" pred="{661393B6-44C7-497B-A1A4-E87A0895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28575</xdr:rowOff>
    </xdr:to>
    <xdr:pic>
      <xdr:nvPicPr>
        <xdr:cNvPr id="499" name="Imagen 1">
          <a:extLst>
            <a:ext uri="{FF2B5EF4-FFF2-40B4-BE49-F238E27FC236}">
              <a16:creationId xmlns:a16="http://schemas.microsoft.com/office/drawing/2014/main" id="{11DE1CB6-EE02-4587-8F86-C418C1D5E91D}"/>
            </a:ext>
            <a:ext uri="{147F2762-F138-4A5C-976F-8EAC2B608ADB}">
              <a16:predDERef xmlns:a16="http://schemas.microsoft.com/office/drawing/2014/main" pred="{7E4F08A6-0173-4767-887D-EFE0176C3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28575</xdr:rowOff>
    </xdr:to>
    <xdr:pic>
      <xdr:nvPicPr>
        <xdr:cNvPr id="500" name="Imagen 1">
          <a:extLst>
            <a:ext uri="{FF2B5EF4-FFF2-40B4-BE49-F238E27FC236}">
              <a16:creationId xmlns:a16="http://schemas.microsoft.com/office/drawing/2014/main" id="{FD0F0A07-73C8-44BA-A947-3EC6BEED92FC}"/>
            </a:ext>
            <a:ext uri="{147F2762-F138-4A5C-976F-8EAC2B608ADB}">
              <a16:predDERef xmlns:a16="http://schemas.microsoft.com/office/drawing/2014/main" pred="{11DE1CB6-EE02-4587-8F86-C418C1D5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90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133350</xdr:colOff>
      <xdr:row>29</xdr:row>
      <xdr:rowOff>28575</xdr:rowOff>
    </xdr:to>
    <xdr:pic>
      <xdr:nvPicPr>
        <xdr:cNvPr id="501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133350</xdr:colOff>
      <xdr:row>30</xdr:row>
      <xdr:rowOff>28575</xdr:rowOff>
    </xdr:to>
    <xdr:pic>
      <xdr:nvPicPr>
        <xdr:cNvPr id="502" name="Imagen 1">
          <a:extLst>
            <a:ext uri="{FF2B5EF4-FFF2-40B4-BE49-F238E27FC236}">
              <a16:creationId xmlns:a16="http://schemas.microsoft.com/office/drawing/2014/main" id="{701E38FB-18EF-44D5-9C03-3FEE160DD195}"/>
            </a:ext>
            <a:ext uri="{147F2762-F138-4A5C-976F-8EAC2B608ADB}">
              <a16:predDERef xmlns:a16="http://schemas.microsoft.com/office/drawing/2014/main" pred="{E37488D8-8B50-43C3-A882-6354F97E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334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133350</xdr:colOff>
      <xdr:row>31</xdr:row>
      <xdr:rowOff>28575</xdr:rowOff>
    </xdr:to>
    <xdr:pic>
      <xdr:nvPicPr>
        <xdr:cNvPr id="503" name="Imagen 1">
          <a:extLst>
            <a:ext uri="{FF2B5EF4-FFF2-40B4-BE49-F238E27FC236}">
              <a16:creationId xmlns:a16="http://schemas.microsoft.com/office/drawing/2014/main" id="{214E4B13-4ADB-46AC-8629-D69D7A7BB08F}"/>
            </a:ext>
            <a:ext uri="{147F2762-F138-4A5C-976F-8EAC2B608ADB}">
              <a16:predDERef xmlns:a16="http://schemas.microsoft.com/office/drawing/2014/main" pred="{701E38FB-18EF-44D5-9C03-3FEE160DD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524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133350</xdr:colOff>
      <xdr:row>32</xdr:row>
      <xdr:rowOff>28575</xdr:rowOff>
    </xdr:to>
    <xdr:pic>
      <xdr:nvPicPr>
        <xdr:cNvPr id="504" name="Imagen 1">
          <a:extLst>
            <a:ext uri="{FF2B5EF4-FFF2-40B4-BE49-F238E27FC236}">
              <a16:creationId xmlns:a16="http://schemas.microsoft.com/office/drawing/2014/main" id="{BCB38319-CC5A-4C6F-A4D4-9C05137C672D}"/>
            </a:ext>
            <a:ext uri="{147F2762-F138-4A5C-976F-8EAC2B608ADB}">
              <a16:predDERef xmlns:a16="http://schemas.microsoft.com/office/drawing/2014/main" pred="{214E4B13-4ADB-46AC-8629-D69D7A7B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715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133350</xdr:colOff>
      <xdr:row>33</xdr:row>
      <xdr:rowOff>28575</xdr:rowOff>
    </xdr:to>
    <xdr:pic>
      <xdr:nvPicPr>
        <xdr:cNvPr id="505" name="Imagen 1">
          <a:extLst>
            <a:ext uri="{FF2B5EF4-FFF2-40B4-BE49-F238E27FC236}">
              <a16:creationId xmlns:a16="http://schemas.microsoft.com/office/drawing/2014/main" id="{7723E8D4-412A-45D3-93DD-50F495F91614}"/>
            </a:ext>
            <a:ext uri="{147F2762-F138-4A5C-976F-8EAC2B608ADB}">
              <a16:predDERef xmlns:a16="http://schemas.microsoft.com/office/drawing/2014/main" pred="{BCB38319-CC5A-4C6F-A4D4-9C05137C6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905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133350</xdr:colOff>
      <xdr:row>34</xdr:row>
      <xdr:rowOff>28575</xdr:rowOff>
    </xdr:to>
    <xdr:pic>
      <xdr:nvPicPr>
        <xdr:cNvPr id="506" name="Imagen 1">
          <a:extLst>
            <a:ext uri="{FF2B5EF4-FFF2-40B4-BE49-F238E27FC236}">
              <a16:creationId xmlns:a16="http://schemas.microsoft.com/office/drawing/2014/main" id="{417B7057-77F7-4455-8C59-16689398C1F9}"/>
            </a:ext>
            <a:ext uri="{147F2762-F138-4A5C-976F-8EAC2B608ADB}">
              <a16:predDERef xmlns:a16="http://schemas.microsoft.com/office/drawing/2014/main" pred="{7723E8D4-412A-45D3-93DD-50F495F91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096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133350</xdr:colOff>
      <xdr:row>35</xdr:row>
      <xdr:rowOff>28575</xdr:rowOff>
    </xdr:to>
    <xdr:pic>
      <xdr:nvPicPr>
        <xdr:cNvPr id="507" name="Imagen 1">
          <a:extLst>
            <a:ext uri="{FF2B5EF4-FFF2-40B4-BE49-F238E27FC236}">
              <a16:creationId xmlns:a16="http://schemas.microsoft.com/office/drawing/2014/main" id="{842DC71D-3A20-4B4E-962F-255A42AD3271}"/>
            </a:ext>
            <a:ext uri="{147F2762-F138-4A5C-976F-8EAC2B608ADB}">
              <a16:predDERef xmlns:a16="http://schemas.microsoft.com/office/drawing/2014/main" pred="{417B7057-77F7-4455-8C59-16689398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286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133350</xdr:colOff>
      <xdr:row>36</xdr:row>
      <xdr:rowOff>28575</xdr:rowOff>
    </xdr:to>
    <xdr:pic>
      <xdr:nvPicPr>
        <xdr:cNvPr id="508" name="Imagen 1">
          <a:extLst>
            <a:ext uri="{FF2B5EF4-FFF2-40B4-BE49-F238E27FC236}">
              <a16:creationId xmlns:a16="http://schemas.microsoft.com/office/drawing/2014/main" id="{CC0379F7-EE67-480D-9DAD-02000E839611}"/>
            </a:ext>
            <a:ext uri="{147F2762-F138-4A5C-976F-8EAC2B608ADB}">
              <a16:predDERef xmlns:a16="http://schemas.microsoft.com/office/drawing/2014/main" pred="{842DC71D-3A20-4B4E-962F-255A42AD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477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133350</xdr:colOff>
      <xdr:row>37</xdr:row>
      <xdr:rowOff>28575</xdr:rowOff>
    </xdr:to>
    <xdr:pic>
      <xdr:nvPicPr>
        <xdr:cNvPr id="509" name="Imagen 1">
          <a:extLst>
            <a:ext uri="{FF2B5EF4-FFF2-40B4-BE49-F238E27FC236}">
              <a16:creationId xmlns:a16="http://schemas.microsoft.com/office/drawing/2014/main" id="{63408500-41B1-4444-8124-F26E1B9F9D50}"/>
            </a:ext>
            <a:ext uri="{147F2762-F138-4A5C-976F-8EAC2B608ADB}">
              <a16:predDERef xmlns:a16="http://schemas.microsoft.com/office/drawing/2014/main" pred="{CC0379F7-EE67-480D-9DAD-02000E83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667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133350</xdr:colOff>
      <xdr:row>38</xdr:row>
      <xdr:rowOff>28575</xdr:rowOff>
    </xdr:to>
    <xdr:pic>
      <xdr:nvPicPr>
        <xdr:cNvPr id="510" name="Imagen 1">
          <a:extLst>
            <a:ext uri="{FF2B5EF4-FFF2-40B4-BE49-F238E27FC236}">
              <a16:creationId xmlns:a16="http://schemas.microsoft.com/office/drawing/2014/main" id="{EED8D005-F547-49E4-9A16-3AC8A2C11BAE}"/>
            </a:ext>
            <a:ext uri="{147F2762-F138-4A5C-976F-8EAC2B608ADB}">
              <a16:predDERef xmlns:a16="http://schemas.microsoft.com/office/drawing/2014/main" pred="{63408500-41B1-4444-8124-F26E1B9F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858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133350</xdr:colOff>
      <xdr:row>30</xdr:row>
      <xdr:rowOff>28575</xdr:rowOff>
    </xdr:to>
    <xdr:pic>
      <xdr:nvPicPr>
        <xdr:cNvPr id="511" name="Imagen 1">
          <a:extLst>
            <a:ext uri="{FF2B5EF4-FFF2-40B4-BE49-F238E27FC236}">
              <a16:creationId xmlns:a16="http://schemas.microsoft.com/office/drawing/2014/main" id="{0ECBA938-2F81-4811-9FEE-F6A52A6A53EA}"/>
            </a:ext>
            <a:ext uri="{147F2762-F138-4A5C-976F-8EAC2B608ADB}">
              <a16:predDERef xmlns:a16="http://schemas.microsoft.com/office/drawing/2014/main" pred="{EED8D005-F547-49E4-9A16-3AC8A2C1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334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133350</xdr:colOff>
      <xdr:row>31</xdr:row>
      <xdr:rowOff>28575</xdr:rowOff>
    </xdr:to>
    <xdr:pic>
      <xdr:nvPicPr>
        <xdr:cNvPr id="512" name="Imagen 1">
          <a:extLst>
            <a:ext uri="{FF2B5EF4-FFF2-40B4-BE49-F238E27FC236}">
              <a16:creationId xmlns:a16="http://schemas.microsoft.com/office/drawing/2014/main" id="{2266E8CA-745B-4F6D-A3A7-FE3552748940}"/>
            </a:ext>
            <a:ext uri="{147F2762-F138-4A5C-976F-8EAC2B608ADB}">
              <a16:predDERef xmlns:a16="http://schemas.microsoft.com/office/drawing/2014/main" pred="{0ECBA938-2F81-4811-9FEE-F6A52A6A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524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133350</xdr:colOff>
      <xdr:row>32</xdr:row>
      <xdr:rowOff>28575</xdr:rowOff>
    </xdr:to>
    <xdr:pic>
      <xdr:nvPicPr>
        <xdr:cNvPr id="513" name="Imagen 1">
          <a:extLst>
            <a:ext uri="{FF2B5EF4-FFF2-40B4-BE49-F238E27FC236}">
              <a16:creationId xmlns:a16="http://schemas.microsoft.com/office/drawing/2014/main" id="{0B8572ED-B4B5-4484-8A74-3FE002407F3A}"/>
            </a:ext>
            <a:ext uri="{147F2762-F138-4A5C-976F-8EAC2B608ADB}">
              <a16:predDERef xmlns:a16="http://schemas.microsoft.com/office/drawing/2014/main" pred="{2266E8CA-745B-4F6D-A3A7-FE3552748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715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133350</xdr:colOff>
      <xdr:row>33</xdr:row>
      <xdr:rowOff>28575</xdr:rowOff>
    </xdr:to>
    <xdr:pic>
      <xdr:nvPicPr>
        <xdr:cNvPr id="514" name="Imagen 1">
          <a:extLst>
            <a:ext uri="{FF2B5EF4-FFF2-40B4-BE49-F238E27FC236}">
              <a16:creationId xmlns:a16="http://schemas.microsoft.com/office/drawing/2014/main" id="{82B62397-20E8-4E2B-9EE5-36E254BEF11F}"/>
            </a:ext>
            <a:ext uri="{147F2762-F138-4A5C-976F-8EAC2B608ADB}">
              <a16:predDERef xmlns:a16="http://schemas.microsoft.com/office/drawing/2014/main" pred="{0B8572ED-B4B5-4484-8A74-3FE00240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905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133350</xdr:colOff>
      <xdr:row>34</xdr:row>
      <xdr:rowOff>28575</xdr:rowOff>
    </xdr:to>
    <xdr:pic>
      <xdr:nvPicPr>
        <xdr:cNvPr id="515" name="Imagen 1">
          <a:extLst>
            <a:ext uri="{FF2B5EF4-FFF2-40B4-BE49-F238E27FC236}">
              <a16:creationId xmlns:a16="http://schemas.microsoft.com/office/drawing/2014/main" id="{2749260C-B244-4462-BB83-2EE90F655563}"/>
            </a:ext>
            <a:ext uri="{147F2762-F138-4A5C-976F-8EAC2B608ADB}">
              <a16:predDERef xmlns:a16="http://schemas.microsoft.com/office/drawing/2014/main" pred="{82B62397-20E8-4E2B-9EE5-36E254BEF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096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133350</xdr:colOff>
      <xdr:row>35</xdr:row>
      <xdr:rowOff>28575</xdr:rowOff>
    </xdr:to>
    <xdr:pic>
      <xdr:nvPicPr>
        <xdr:cNvPr id="516" name="Imagen 1">
          <a:extLst>
            <a:ext uri="{FF2B5EF4-FFF2-40B4-BE49-F238E27FC236}">
              <a16:creationId xmlns:a16="http://schemas.microsoft.com/office/drawing/2014/main" id="{D4511E47-E383-4822-8917-E10AFB8FCD83}"/>
            </a:ext>
            <a:ext uri="{147F2762-F138-4A5C-976F-8EAC2B608ADB}">
              <a16:predDERef xmlns:a16="http://schemas.microsoft.com/office/drawing/2014/main" pred="{2749260C-B244-4462-BB83-2EE90F655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286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133350</xdr:colOff>
      <xdr:row>36</xdr:row>
      <xdr:rowOff>28575</xdr:rowOff>
    </xdr:to>
    <xdr:pic>
      <xdr:nvPicPr>
        <xdr:cNvPr id="517" name="Imagen 1">
          <a:extLst>
            <a:ext uri="{FF2B5EF4-FFF2-40B4-BE49-F238E27FC236}">
              <a16:creationId xmlns:a16="http://schemas.microsoft.com/office/drawing/2014/main" id="{3B827E40-B1FA-41F9-9A3F-37560919DD36}"/>
            </a:ext>
            <a:ext uri="{147F2762-F138-4A5C-976F-8EAC2B608ADB}">
              <a16:predDERef xmlns:a16="http://schemas.microsoft.com/office/drawing/2014/main" pred="{D4511E47-E383-4822-8917-E10AFB8F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477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133350</xdr:colOff>
      <xdr:row>37</xdr:row>
      <xdr:rowOff>28575</xdr:rowOff>
    </xdr:to>
    <xdr:pic>
      <xdr:nvPicPr>
        <xdr:cNvPr id="518" name="Imagen 1">
          <a:extLst>
            <a:ext uri="{FF2B5EF4-FFF2-40B4-BE49-F238E27FC236}">
              <a16:creationId xmlns:a16="http://schemas.microsoft.com/office/drawing/2014/main" id="{90F8AAE0-9C06-4667-877B-8B23B12A03B5}"/>
            </a:ext>
            <a:ext uri="{147F2762-F138-4A5C-976F-8EAC2B608ADB}">
              <a16:predDERef xmlns:a16="http://schemas.microsoft.com/office/drawing/2014/main" pred="{3B827E40-B1FA-41F9-9A3F-37560919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667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133350</xdr:colOff>
      <xdr:row>38</xdr:row>
      <xdr:rowOff>28575</xdr:rowOff>
    </xdr:to>
    <xdr:pic>
      <xdr:nvPicPr>
        <xdr:cNvPr id="519" name="Imagen 1">
          <a:extLst>
            <a:ext uri="{FF2B5EF4-FFF2-40B4-BE49-F238E27FC236}">
              <a16:creationId xmlns:a16="http://schemas.microsoft.com/office/drawing/2014/main" id="{DAB8AC21-5575-4E1A-BA36-72645D404E89}"/>
            </a:ext>
            <a:ext uri="{147F2762-F138-4A5C-976F-8EAC2B608ADB}">
              <a16:predDERef xmlns:a16="http://schemas.microsoft.com/office/drawing/2014/main" pred="{90F8AAE0-9C06-4667-877B-8B23B12A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68580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133350</xdr:colOff>
      <xdr:row>30</xdr:row>
      <xdr:rowOff>28575</xdr:rowOff>
    </xdr:to>
    <xdr:pic>
      <xdr:nvPicPr>
        <xdr:cNvPr id="520" name="Imagen 1">
          <a:extLst>
            <a:ext uri="{FF2B5EF4-FFF2-40B4-BE49-F238E27FC236}">
              <a16:creationId xmlns:a16="http://schemas.microsoft.com/office/drawing/2014/main" id="{488489C0-10AB-4963-BC62-CFA714EA511F}"/>
            </a:ext>
            <a:ext uri="{147F2762-F138-4A5C-976F-8EAC2B608ADB}">
              <a16:predDERef xmlns:a16="http://schemas.microsoft.com/office/drawing/2014/main" pred="{DAB8AC21-5575-4E1A-BA36-72645D40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133350</xdr:colOff>
      <xdr:row>31</xdr:row>
      <xdr:rowOff>28575</xdr:rowOff>
    </xdr:to>
    <xdr:pic>
      <xdr:nvPicPr>
        <xdr:cNvPr id="521" name="Imagen 1">
          <a:extLst>
            <a:ext uri="{FF2B5EF4-FFF2-40B4-BE49-F238E27FC236}">
              <a16:creationId xmlns:a16="http://schemas.microsoft.com/office/drawing/2014/main" id="{49FF4EA3-2108-43CF-B952-2E721F9D054F}"/>
            </a:ext>
            <a:ext uri="{147F2762-F138-4A5C-976F-8EAC2B608ADB}">
              <a16:predDERef xmlns:a16="http://schemas.microsoft.com/office/drawing/2014/main" pred="{488489C0-10AB-4963-BC62-CFA714EA5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133350</xdr:colOff>
      <xdr:row>32</xdr:row>
      <xdr:rowOff>28575</xdr:rowOff>
    </xdr:to>
    <xdr:pic>
      <xdr:nvPicPr>
        <xdr:cNvPr id="522" name="Imagen 1">
          <a:extLst>
            <a:ext uri="{FF2B5EF4-FFF2-40B4-BE49-F238E27FC236}">
              <a16:creationId xmlns:a16="http://schemas.microsoft.com/office/drawing/2014/main" id="{A7519F1C-5345-4CB4-9CBA-E8A13F456161}"/>
            </a:ext>
            <a:ext uri="{147F2762-F138-4A5C-976F-8EAC2B608ADB}">
              <a16:predDERef xmlns:a16="http://schemas.microsoft.com/office/drawing/2014/main" pred="{49FF4EA3-2108-43CF-B952-2E721F9D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133350</xdr:colOff>
      <xdr:row>33</xdr:row>
      <xdr:rowOff>28575</xdr:rowOff>
    </xdr:to>
    <xdr:pic>
      <xdr:nvPicPr>
        <xdr:cNvPr id="523" name="Imagen 1">
          <a:extLst>
            <a:ext uri="{FF2B5EF4-FFF2-40B4-BE49-F238E27FC236}">
              <a16:creationId xmlns:a16="http://schemas.microsoft.com/office/drawing/2014/main" id="{679B5F26-6698-4D42-A9B2-B7A8102983F6}"/>
            </a:ext>
            <a:ext uri="{147F2762-F138-4A5C-976F-8EAC2B608ADB}">
              <a16:predDERef xmlns:a16="http://schemas.microsoft.com/office/drawing/2014/main" pred="{A7519F1C-5345-4CB4-9CBA-E8A13F45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133350</xdr:colOff>
      <xdr:row>34</xdr:row>
      <xdr:rowOff>28575</xdr:rowOff>
    </xdr:to>
    <xdr:pic>
      <xdr:nvPicPr>
        <xdr:cNvPr id="524" name="Imagen 1">
          <a:extLst>
            <a:ext uri="{FF2B5EF4-FFF2-40B4-BE49-F238E27FC236}">
              <a16:creationId xmlns:a16="http://schemas.microsoft.com/office/drawing/2014/main" id="{1A1A26F2-2ECA-4E18-973E-941EC4362E28}"/>
            </a:ext>
            <a:ext uri="{147F2762-F138-4A5C-976F-8EAC2B608ADB}">
              <a16:predDERef xmlns:a16="http://schemas.microsoft.com/office/drawing/2014/main" pred="{679B5F26-6698-4D42-A9B2-B7A810298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133350</xdr:colOff>
      <xdr:row>35</xdr:row>
      <xdr:rowOff>28575</xdr:rowOff>
    </xdr:to>
    <xdr:pic>
      <xdr:nvPicPr>
        <xdr:cNvPr id="525" name="Imagen 1">
          <a:extLst>
            <a:ext uri="{FF2B5EF4-FFF2-40B4-BE49-F238E27FC236}">
              <a16:creationId xmlns:a16="http://schemas.microsoft.com/office/drawing/2014/main" id="{CFA24A3B-4CFB-439E-B002-FD717C2A25DB}"/>
            </a:ext>
            <a:ext uri="{147F2762-F138-4A5C-976F-8EAC2B608ADB}">
              <a16:predDERef xmlns:a16="http://schemas.microsoft.com/office/drawing/2014/main" pred="{1A1A26F2-2ECA-4E18-973E-941EC436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133350</xdr:colOff>
      <xdr:row>36</xdr:row>
      <xdr:rowOff>28575</xdr:rowOff>
    </xdr:to>
    <xdr:pic>
      <xdr:nvPicPr>
        <xdr:cNvPr id="526" name="Imagen 1">
          <a:extLst>
            <a:ext uri="{FF2B5EF4-FFF2-40B4-BE49-F238E27FC236}">
              <a16:creationId xmlns:a16="http://schemas.microsoft.com/office/drawing/2014/main" id="{B46A5C27-11FA-4F25-8000-37E3B96FFE21}"/>
            </a:ext>
            <a:ext uri="{147F2762-F138-4A5C-976F-8EAC2B608ADB}">
              <a16:predDERef xmlns:a16="http://schemas.microsoft.com/office/drawing/2014/main" pred="{CFA24A3B-4CFB-439E-B002-FD717C2A2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133350</xdr:colOff>
      <xdr:row>37</xdr:row>
      <xdr:rowOff>28575</xdr:rowOff>
    </xdr:to>
    <xdr:pic>
      <xdr:nvPicPr>
        <xdr:cNvPr id="527" name="Imagen 1">
          <a:extLst>
            <a:ext uri="{FF2B5EF4-FFF2-40B4-BE49-F238E27FC236}">
              <a16:creationId xmlns:a16="http://schemas.microsoft.com/office/drawing/2014/main" id="{7142518A-D21C-473A-AC47-7B9B0401618E}"/>
            </a:ext>
            <a:ext uri="{147F2762-F138-4A5C-976F-8EAC2B608ADB}">
              <a16:predDERef xmlns:a16="http://schemas.microsoft.com/office/drawing/2014/main" pred="{B46A5C27-11FA-4F25-8000-37E3B96F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133350</xdr:colOff>
      <xdr:row>38</xdr:row>
      <xdr:rowOff>28575</xdr:rowOff>
    </xdr:to>
    <xdr:pic>
      <xdr:nvPicPr>
        <xdr:cNvPr id="528" name="Imagen 1">
          <a:extLst>
            <a:ext uri="{FF2B5EF4-FFF2-40B4-BE49-F238E27FC236}">
              <a16:creationId xmlns:a16="http://schemas.microsoft.com/office/drawing/2014/main" id="{0AE837A3-797B-4DB5-AF45-A2016EF649E6}"/>
            </a:ext>
            <a:ext uri="{147F2762-F138-4A5C-976F-8EAC2B608ADB}">
              <a16:predDERef xmlns:a16="http://schemas.microsoft.com/office/drawing/2014/main" pred="{7142518A-D21C-473A-AC47-7B9B0401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133350</xdr:colOff>
      <xdr:row>30</xdr:row>
      <xdr:rowOff>28575</xdr:rowOff>
    </xdr:to>
    <xdr:pic>
      <xdr:nvPicPr>
        <xdr:cNvPr id="529" name="Imagen 1">
          <a:extLst>
            <a:ext uri="{FF2B5EF4-FFF2-40B4-BE49-F238E27FC236}">
              <a16:creationId xmlns:a16="http://schemas.microsoft.com/office/drawing/2014/main" id="{D62DFDA5-12D5-4457-A67A-DDCE243811D2}"/>
            </a:ext>
            <a:ext uri="{147F2762-F138-4A5C-976F-8EAC2B608ADB}">
              <a16:predDERef xmlns:a16="http://schemas.microsoft.com/office/drawing/2014/main" pred="{0AE837A3-797B-4DB5-AF45-A2016EF64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133350</xdr:colOff>
      <xdr:row>31</xdr:row>
      <xdr:rowOff>28575</xdr:rowOff>
    </xdr:to>
    <xdr:pic>
      <xdr:nvPicPr>
        <xdr:cNvPr id="530" name="Imagen 1">
          <a:extLst>
            <a:ext uri="{FF2B5EF4-FFF2-40B4-BE49-F238E27FC236}">
              <a16:creationId xmlns:a16="http://schemas.microsoft.com/office/drawing/2014/main" id="{4B57797E-9D3B-446E-B267-FD3C6D4282A4}"/>
            </a:ext>
            <a:ext uri="{147F2762-F138-4A5C-976F-8EAC2B608ADB}">
              <a16:predDERef xmlns:a16="http://schemas.microsoft.com/office/drawing/2014/main" pred="{D62DFDA5-12D5-4457-A67A-DDCE2438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133350</xdr:colOff>
      <xdr:row>32</xdr:row>
      <xdr:rowOff>28575</xdr:rowOff>
    </xdr:to>
    <xdr:pic>
      <xdr:nvPicPr>
        <xdr:cNvPr id="531" name="Imagen 1">
          <a:extLst>
            <a:ext uri="{FF2B5EF4-FFF2-40B4-BE49-F238E27FC236}">
              <a16:creationId xmlns:a16="http://schemas.microsoft.com/office/drawing/2014/main" id="{B8E6E689-AED3-42FC-A440-FC693C998E91}"/>
            </a:ext>
            <a:ext uri="{147F2762-F138-4A5C-976F-8EAC2B608ADB}">
              <a16:predDERef xmlns:a16="http://schemas.microsoft.com/office/drawing/2014/main" pred="{4B57797E-9D3B-446E-B267-FD3C6D42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133350</xdr:colOff>
      <xdr:row>33</xdr:row>
      <xdr:rowOff>28575</xdr:rowOff>
    </xdr:to>
    <xdr:pic>
      <xdr:nvPicPr>
        <xdr:cNvPr id="532" name="Imagen 1">
          <a:extLst>
            <a:ext uri="{FF2B5EF4-FFF2-40B4-BE49-F238E27FC236}">
              <a16:creationId xmlns:a16="http://schemas.microsoft.com/office/drawing/2014/main" id="{58C2C7F2-6F8D-4EC7-B80F-9EA021244B7D}"/>
            </a:ext>
            <a:ext uri="{147F2762-F138-4A5C-976F-8EAC2B608ADB}">
              <a16:predDERef xmlns:a16="http://schemas.microsoft.com/office/drawing/2014/main" pred="{B8E6E689-AED3-42FC-A440-FC693C99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133350</xdr:colOff>
      <xdr:row>34</xdr:row>
      <xdr:rowOff>28575</xdr:rowOff>
    </xdr:to>
    <xdr:pic>
      <xdr:nvPicPr>
        <xdr:cNvPr id="533" name="Imagen 1">
          <a:extLst>
            <a:ext uri="{FF2B5EF4-FFF2-40B4-BE49-F238E27FC236}">
              <a16:creationId xmlns:a16="http://schemas.microsoft.com/office/drawing/2014/main" id="{2C61218C-01C1-4550-ADAF-B2D3E39485F3}"/>
            </a:ext>
            <a:ext uri="{147F2762-F138-4A5C-976F-8EAC2B608ADB}">
              <a16:predDERef xmlns:a16="http://schemas.microsoft.com/office/drawing/2014/main" pred="{58C2C7F2-6F8D-4EC7-B80F-9EA02124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133350</xdr:colOff>
      <xdr:row>35</xdr:row>
      <xdr:rowOff>28575</xdr:rowOff>
    </xdr:to>
    <xdr:pic>
      <xdr:nvPicPr>
        <xdr:cNvPr id="534" name="Imagen 1">
          <a:extLst>
            <a:ext uri="{FF2B5EF4-FFF2-40B4-BE49-F238E27FC236}">
              <a16:creationId xmlns:a16="http://schemas.microsoft.com/office/drawing/2014/main" id="{3B69B8F9-B43C-4887-A4BE-353CCD8B3BEF}"/>
            </a:ext>
            <a:ext uri="{147F2762-F138-4A5C-976F-8EAC2B608ADB}">
              <a16:predDERef xmlns:a16="http://schemas.microsoft.com/office/drawing/2014/main" pred="{2C61218C-01C1-4550-ADAF-B2D3E394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2580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133350</xdr:colOff>
      <xdr:row>36</xdr:row>
      <xdr:rowOff>28575</xdr:rowOff>
    </xdr:to>
    <xdr:pic>
      <xdr:nvPicPr>
        <xdr:cNvPr id="535" name="Imagen 1">
          <a:extLst>
            <a:ext uri="{FF2B5EF4-FFF2-40B4-BE49-F238E27FC236}">
              <a16:creationId xmlns:a16="http://schemas.microsoft.com/office/drawing/2014/main" id="{527517F8-2A45-45F5-BF2B-D55BC1BADA00}"/>
            </a:ext>
            <a:ext uri="{147F2762-F138-4A5C-976F-8EAC2B608ADB}">
              <a16:predDERef xmlns:a16="http://schemas.microsoft.com/office/drawing/2014/main" pred="{3B69B8F9-B43C-4887-A4BE-353CCD8B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133350</xdr:colOff>
      <xdr:row>37</xdr:row>
      <xdr:rowOff>28575</xdr:rowOff>
    </xdr:to>
    <xdr:pic>
      <xdr:nvPicPr>
        <xdr:cNvPr id="536" name="Imagen 1">
          <a:extLst>
            <a:ext uri="{FF2B5EF4-FFF2-40B4-BE49-F238E27FC236}">
              <a16:creationId xmlns:a16="http://schemas.microsoft.com/office/drawing/2014/main" id="{DA40F2EE-7F8D-4C1E-B1BC-43207623BB03}"/>
            </a:ext>
            <a:ext uri="{147F2762-F138-4A5C-976F-8EAC2B608ADB}">
              <a16:predDERef xmlns:a16="http://schemas.microsoft.com/office/drawing/2014/main" pred="{527517F8-2A45-45F5-BF2B-D55BC1BA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133350</xdr:colOff>
      <xdr:row>38</xdr:row>
      <xdr:rowOff>28575</xdr:rowOff>
    </xdr:to>
    <xdr:pic>
      <xdr:nvPicPr>
        <xdr:cNvPr id="537" name="Imagen 1">
          <a:extLst>
            <a:ext uri="{FF2B5EF4-FFF2-40B4-BE49-F238E27FC236}">
              <a16:creationId xmlns:a16="http://schemas.microsoft.com/office/drawing/2014/main" id="{0927F54A-E5EB-49E2-ADC7-0333F2928BD4}"/>
            </a:ext>
            <a:ext uri="{147F2762-F138-4A5C-976F-8EAC2B608ADB}">
              <a16:predDERef xmlns:a16="http://schemas.microsoft.com/office/drawing/2014/main" pred="{DA40F2EE-7F8D-4C1E-B1BC-43207623B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51435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133350</xdr:colOff>
      <xdr:row>42</xdr:row>
      <xdr:rowOff>38100</xdr:rowOff>
    </xdr:to>
    <xdr:pic>
      <xdr:nvPicPr>
        <xdr:cNvPr id="538" name="Imagen 1">
          <a:extLst>
            <a:ext uri="{FF2B5EF4-FFF2-40B4-BE49-F238E27FC236}">
              <a16:creationId xmlns:a16="http://schemas.microsoft.com/office/drawing/2014/main" id="{A5C0E6C6-6A13-4979-A858-F18BD475948A}"/>
            </a:ext>
            <a:ext uri="{147F2762-F138-4A5C-976F-8EAC2B608ADB}">
              <a16:predDERef xmlns:a16="http://schemas.microsoft.com/office/drawing/2014/main" pred="{0927F54A-E5EB-49E2-ADC7-0333F292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133350</xdr:colOff>
      <xdr:row>42</xdr:row>
      <xdr:rowOff>38100</xdr:rowOff>
    </xdr:to>
    <xdr:pic>
      <xdr:nvPicPr>
        <xdr:cNvPr id="539" name="Imagen 1">
          <a:extLst>
            <a:ext uri="{FF2B5EF4-FFF2-40B4-BE49-F238E27FC236}">
              <a16:creationId xmlns:a16="http://schemas.microsoft.com/office/drawing/2014/main" id="{95F3CA51-26AB-4B61-B1CE-E8628B8DAB11}"/>
            </a:ext>
            <a:ext uri="{147F2762-F138-4A5C-976F-8EAC2B608ADB}">
              <a16:predDERef xmlns:a16="http://schemas.microsoft.com/office/drawing/2014/main" pred="{A5C0E6C6-6A13-4979-A858-F18BD475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133350</xdr:colOff>
      <xdr:row>42</xdr:row>
      <xdr:rowOff>38100</xdr:rowOff>
    </xdr:to>
    <xdr:pic>
      <xdr:nvPicPr>
        <xdr:cNvPr id="540" name="Imagen 1">
          <a:extLst>
            <a:ext uri="{FF2B5EF4-FFF2-40B4-BE49-F238E27FC236}">
              <a16:creationId xmlns:a16="http://schemas.microsoft.com/office/drawing/2014/main" id="{34A52EFD-3271-4CDB-B97E-F799DC7C1A7C}"/>
            </a:ext>
            <a:ext uri="{147F2762-F138-4A5C-976F-8EAC2B608ADB}">
              <a16:predDERef xmlns:a16="http://schemas.microsoft.com/office/drawing/2014/main" pred="{95F3CA51-26AB-4B61-B1CE-E8628B8DA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133350</xdr:colOff>
      <xdr:row>46</xdr:row>
      <xdr:rowOff>38100</xdr:rowOff>
    </xdr:to>
    <xdr:pic>
      <xdr:nvPicPr>
        <xdr:cNvPr id="541" name="Imagen 1">
          <a:extLst>
            <a:ext uri="{FF2B5EF4-FFF2-40B4-BE49-F238E27FC236}">
              <a16:creationId xmlns:a16="http://schemas.microsoft.com/office/drawing/2014/main" id="{CB83737F-2649-4174-818D-663BD67F7AB9}"/>
            </a:ext>
            <a:ext uri="{147F2762-F138-4A5C-976F-8EAC2B608ADB}">
              <a16:predDERef xmlns:a16="http://schemas.microsoft.com/office/drawing/2014/main" pred="{34A52EFD-3271-4CDB-B97E-F799DC7C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133350</xdr:colOff>
      <xdr:row>46</xdr:row>
      <xdr:rowOff>38100</xdr:rowOff>
    </xdr:to>
    <xdr:pic>
      <xdr:nvPicPr>
        <xdr:cNvPr id="542" name="Imagen 1">
          <a:extLst>
            <a:ext uri="{FF2B5EF4-FFF2-40B4-BE49-F238E27FC236}">
              <a16:creationId xmlns:a16="http://schemas.microsoft.com/office/drawing/2014/main" id="{A7FA066A-024C-4F85-9A54-68E27E838661}"/>
            </a:ext>
            <a:ext uri="{147F2762-F138-4A5C-976F-8EAC2B608ADB}">
              <a16:predDERef xmlns:a16="http://schemas.microsoft.com/office/drawing/2014/main" pred="{CB83737F-2649-4174-818D-663BD67F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133350</xdr:colOff>
      <xdr:row>46</xdr:row>
      <xdr:rowOff>38100</xdr:rowOff>
    </xdr:to>
    <xdr:pic>
      <xdr:nvPicPr>
        <xdr:cNvPr id="543" name="Imagen 1">
          <a:extLst>
            <a:ext uri="{FF2B5EF4-FFF2-40B4-BE49-F238E27FC236}">
              <a16:creationId xmlns:a16="http://schemas.microsoft.com/office/drawing/2014/main" id="{08F6A7F3-C35E-4FCA-BA45-51ACEB3167C4}"/>
            </a:ext>
            <a:ext uri="{147F2762-F138-4A5C-976F-8EAC2B608ADB}">
              <a16:predDERef xmlns:a16="http://schemas.microsoft.com/office/drawing/2014/main" pred="{A7FA066A-024C-4F85-9A54-68E27E83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4" name="Imagen 1">
          <a:extLst>
            <a:ext uri="{FF2B5EF4-FFF2-40B4-BE49-F238E27FC236}">
              <a16:creationId xmlns:a16="http://schemas.microsoft.com/office/drawing/2014/main" id="{3A60C9BB-88CE-4E38-AE9F-45E6304BFB8E}"/>
            </a:ext>
            <a:ext uri="{147F2762-F138-4A5C-976F-8EAC2B608ADB}">
              <a16:predDERef xmlns:a16="http://schemas.microsoft.com/office/drawing/2014/main" pred="{08F6A7F3-C35E-4FCA-BA45-51ACEB31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5" name="Imagen 1">
          <a:extLst>
            <a:ext uri="{FF2B5EF4-FFF2-40B4-BE49-F238E27FC236}">
              <a16:creationId xmlns:a16="http://schemas.microsoft.com/office/drawing/2014/main" id="{997E69F7-1ECC-429C-999F-56676660132F}"/>
            </a:ext>
            <a:ext uri="{147F2762-F138-4A5C-976F-8EAC2B608ADB}">
              <a16:predDERef xmlns:a16="http://schemas.microsoft.com/office/drawing/2014/main" pred="{3A60C9BB-88CE-4E38-AE9F-45E6304B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6" name="Imagen 1">
          <a:extLst>
            <a:ext uri="{FF2B5EF4-FFF2-40B4-BE49-F238E27FC236}">
              <a16:creationId xmlns:a16="http://schemas.microsoft.com/office/drawing/2014/main" id="{9F146F78-DC1F-4672-B165-2D24566D6E9C}"/>
            </a:ext>
            <a:ext uri="{147F2762-F138-4A5C-976F-8EAC2B608ADB}">
              <a16:predDERef xmlns:a16="http://schemas.microsoft.com/office/drawing/2014/main" pred="{997E69F7-1ECC-429C-999F-56676660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7" name="Imagen 1">
          <a:extLst>
            <a:ext uri="{FF2B5EF4-FFF2-40B4-BE49-F238E27FC236}">
              <a16:creationId xmlns:a16="http://schemas.microsoft.com/office/drawing/2014/main" id="{B02DE979-749A-4A63-A502-F08A28D0049B}"/>
            </a:ext>
            <a:ext uri="{147F2762-F138-4A5C-976F-8EAC2B608ADB}">
              <a16:predDERef xmlns:a16="http://schemas.microsoft.com/office/drawing/2014/main" pred="{9F146F78-DC1F-4672-B165-2D24566D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8" name="Imagen 1">
          <a:extLst>
            <a:ext uri="{FF2B5EF4-FFF2-40B4-BE49-F238E27FC236}">
              <a16:creationId xmlns:a16="http://schemas.microsoft.com/office/drawing/2014/main" id="{6C07505C-A0B6-4B33-9C3A-9FAE77B9134B}"/>
            </a:ext>
            <a:ext uri="{147F2762-F138-4A5C-976F-8EAC2B608ADB}">
              <a16:predDERef xmlns:a16="http://schemas.microsoft.com/office/drawing/2014/main" pred="{B02DE979-749A-4A63-A502-F08A28D0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133350</xdr:colOff>
      <xdr:row>50</xdr:row>
      <xdr:rowOff>38100</xdr:rowOff>
    </xdr:to>
    <xdr:pic>
      <xdr:nvPicPr>
        <xdr:cNvPr id="549" name="Imagen 1">
          <a:extLst>
            <a:ext uri="{FF2B5EF4-FFF2-40B4-BE49-F238E27FC236}">
              <a16:creationId xmlns:a16="http://schemas.microsoft.com/office/drawing/2014/main" id="{307EAA78-6535-4438-BBAC-AAA933ADE42F}"/>
            </a:ext>
            <a:ext uri="{147F2762-F138-4A5C-976F-8EAC2B608ADB}">
              <a16:predDERef xmlns:a16="http://schemas.microsoft.com/office/drawing/2014/main" pred="{6C07505C-A0B6-4B33-9C3A-9FAE77B91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7829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133350</xdr:colOff>
      <xdr:row>54</xdr:row>
      <xdr:rowOff>38100</xdr:rowOff>
    </xdr:to>
    <xdr:pic>
      <xdr:nvPicPr>
        <xdr:cNvPr id="550" name="Imagen 1">
          <a:extLst>
            <a:ext uri="{FF2B5EF4-FFF2-40B4-BE49-F238E27FC236}">
              <a16:creationId xmlns:a16="http://schemas.microsoft.com/office/drawing/2014/main" id="{C7AE4C51-0D24-4B67-AD40-09641E645C3B}"/>
            </a:ext>
            <a:ext uri="{147F2762-F138-4A5C-976F-8EAC2B608ADB}">
              <a16:predDERef xmlns:a16="http://schemas.microsoft.com/office/drawing/2014/main" pred="{307EAA78-6535-4438-BBAC-AAA933AD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133350</xdr:colOff>
      <xdr:row>54</xdr:row>
      <xdr:rowOff>38100</xdr:rowOff>
    </xdr:to>
    <xdr:pic>
      <xdr:nvPicPr>
        <xdr:cNvPr id="551" name="Imagen 1">
          <a:extLst>
            <a:ext uri="{FF2B5EF4-FFF2-40B4-BE49-F238E27FC236}">
              <a16:creationId xmlns:a16="http://schemas.microsoft.com/office/drawing/2014/main" id="{C9BF299C-F2E1-43E2-BA00-7EA6B4156134}"/>
            </a:ext>
            <a:ext uri="{147F2762-F138-4A5C-976F-8EAC2B608ADB}">
              <a16:predDERef xmlns:a16="http://schemas.microsoft.com/office/drawing/2014/main" pred="{C7AE4C51-0D24-4B67-AD40-09641E64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133350</xdr:colOff>
      <xdr:row>54</xdr:row>
      <xdr:rowOff>38100</xdr:rowOff>
    </xdr:to>
    <xdr:pic>
      <xdr:nvPicPr>
        <xdr:cNvPr id="552" name="Imagen 1">
          <a:extLst>
            <a:ext uri="{FF2B5EF4-FFF2-40B4-BE49-F238E27FC236}">
              <a16:creationId xmlns:a16="http://schemas.microsoft.com/office/drawing/2014/main" id="{AB3C9B4D-D805-402D-82CB-8FFF8D6A4D6E}"/>
            </a:ext>
            <a:ext uri="{147F2762-F138-4A5C-976F-8EAC2B608ADB}">
              <a16:predDERef xmlns:a16="http://schemas.microsoft.com/office/drawing/2014/main" pred="{C9BF299C-F2E1-43E2-BA00-7EA6B415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8591550"/>
          <a:ext cx="13335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6</xdr:row>
      <xdr:rowOff>123825</xdr:rowOff>
    </xdr:from>
    <xdr:to>
      <xdr:col>2</xdr:col>
      <xdr:colOff>438150</xdr:colOff>
      <xdr:row>7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81ECED-79E2-A943-A14A-A1BA282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67151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19050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EE65BCC-4E7C-4B5D-9E0A-8A5B2627EFDC}"/>
            </a:ext>
            <a:ext uri="{147F2762-F138-4A5C-976F-8EAC2B608ADB}">
              <a16:predDERef xmlns:a16="http://schemas.microsoft.com/office/drawing/2014/main" pred="{7881ECED-79E2-A943-A14A-A1BA282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19050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C9E934A-C68C-4622-9F12-544A3CA72D86}"/>
            </a:ext>
            <a:ext uri="{147F2762-F138-4A5C-976F-8EAC2B608ADB}">
              <a16:predDERef xmlns:a16="http://schemas.microsoft.com/office/drawing/2014/main" pred="{0EE65BCC-4E7C-4B5D-9E0A-8A5B2627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19050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21950AA2-6E1C-4B47-AE60-E41CBDB2C4E1}"/>
            </a:ext>
            <a:ext uri="{147F2762-F138-4A5C-976F-8EAC2B608ADB}">
              <a16:predDERef xmlns:a16="http://schemas.microsoft.com/office/drawing/2014/main" pred="{4C9E934A-C68C-4622-9F12-544A3CA7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19050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A4A1A0E1-6E26-4235-8E20-CFD84C1548E6}"/>
            </a:ext>
            <a:ext uri="{147F2762-F138-4A5C-976F-8EAC2B608ADB}">
              <a16:predDERef xmlns:a16="http://schemas.microsoft.com/office/drawing/2014/main" pred="{21950AA2-6E1C-4B47-AE60-E41CBDB2C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19050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21B3434C-69F1-44D4-B1F3-459B452DACC6}"/>
            </a:ext>
            <a:ext uri="{147F2762-F138-4A5C-976F-8EAC2B608ADB}">
              <a16:predDERef xmlns:a16="http://schemas.microsoft.com/office/drawing/2014/main" pred="{A4A1A0E1-6E26-4235-8E20-CFD84C15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19050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1E1D0B61-ECE8-497A-B451-FC94771B0C1C}"/>
            </a:ext>
            <a:ext uri="{147F2762-F138-4A5C-976F-8EAC2B608ADB}">
              <a16:predDERef xmlns:a16="http://schemas.microsoft.com/office/drawing/2014/main" pred="{21B3434C-69F1-44D4-B1F3-459B452D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19050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1EF59B2E-482D-4926-B5AF-3C35728D3E6B}"/>
            </a:ext>
            <a:ext uri="{147F2762-F138-4A5C-976F-8EAC2B608ADB}">
              <a16:predDERef xmlns:a16="http://schemas.microsoft.com/office/drawing/2014/main" pred="{1E1D0B61-ECE8-497A-B451-FC94771B0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19050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EDE6174E-3B5C-4D53-B6EC-6B2CD9C016AB}"/>
            </a:ext>
            <a:ext uri="{147F2762-F138-4A5C-976F-8EAC2B608ADB}">
              <a16:predDERef xmlns:a16="http://schemas.microsoft.com/office/drawing/2014/main" pred="{1EF59B2E-482D-4926-B5AF-3C35728D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19050</xdr:rowOff>
    </xdr:to>
    <xdr:pic>
      <xdr:nvPicPr>
        <xdr:cNvPr id="11" name="Imagen 1">
          <a:extLst>
            <a:ext uri="{FF2B5EF4-FFF2-40B4-BE49-F238E27FC236}">
              <a16:creationId xmlns:a16="http://schemas.microsoft.com/office/drawing/2014/main" id="{E50A4633-31DA-42BE-8516-F52390A3B765}"/>
            </a:ext>
            <a:ext uri="{147F2762-F138-4A5C-976F-8EAC2B608ADB}">
              <a16:predDERef xmlns:a16="http://schemas.microsoft.com/office/drawing/2014/main" pred="{EDE6174E-3B5C-4D53-B6EC-6B2CD9C01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5914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19050</xdr:rowOff>
    </xdr:to>
    <xdr:pic>
      <xdr:nvPicPr>
        <xdr:cNvPr id="12" name="Imagen 1">
          <a:extLst>
            <a:ext uri="{FF2B5EF4-FFF2-40B4-BE49-F238E27FC236}">
              <a16:creationId xmlns:a16="http://schemas.microsoft.com/office/drawing/2014/main" id="{3908C251-4868-493A-8052-46503A909BBF}"/>
            </a:ext>
            <a:ext uri="{147F2762-F138-4A5C-976F-8EAC2B608ADB}">
              <a16:predDERef xmlns:a16="http://schemas.microsoft.com/office/drawing/2014/main" pred="{378988E0-2E65-4A27-96EF-C24EE260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19050</xdr:rowOff>
    </xdr:to>
    <xdr:pic>
      <xdr:nvPicPr>
        <xdr:cNvPr id="13" name="Imagen 1">
          <a:extLst>
            <a:ext uri="{FF2B5EF4-FFF2-40B4-BE49-F238E27FC236}">
              <a16:creationId xmlns:a16="http://schemas.microsoft.com/office/drawing/2014/main" id="{91427D4F-A159-405D-9765-51FA386FC096}"/>
            </a:ext>
            <a:ext uri="{147F2762-F138-4A5C-976F-8EAC2B608ADB}">
              <a16:predDERef xmlns:a16="http://schemas.microsoft.com/office/drawing/2014/main" pred="{0734CF84-6736-4239-908E-042ED75C6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19050</xdr:rowOff>
    </xdr:to>
    <xdr:pic>
      <xdr:nvPicPr>
        <xdr:cNvPr id="14" name="Imagen 1">
          <a:extLst>
            <a:ext uri="{FF2B5EF4-FFF2-40B4-BE49-F238E27FC236}">
              <a16:creationId xmlns:a16="http://schemas.microsoft.com/office/drawing/2014/main" id="{BADD406D-7C7D-40E0-A918-079E1FEDE416}"/>
            </a:ext>
            <a:ext uri="{147F2762-F138-4A5C-976F-8EAC2B608ADB}">
              <a16:predDERef xmlns:a16="http://schemas.microsoft.com/office/drawing/2014/main" pred="{5F1671F0-5FF5-464A-8EDA-33D1D9C5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19050</xdr:rowOff>
    </xdr:to>
    <xdr:pic>
      <xdr:nvPicPr>
        <xdr:cNvPr id="15" name="Imagen 1">
          <a:extLst>
            <a:ext uri="{FF2B5EF4-FFF2-40B4-BE49-F238E27FC236}">
              <a16:creationId xmlns:a16="http://schemas.microsoft.com/office/drawing/2014/main" id="{F062EC90-9605-4037-98D9-7F0171CEAACE}"/>
            </a:ext>
            <a:ext uri="{147F2762-F138-4A5C-976F-8EAC2B608ADB}">
              <a16:predDERef xmlns:a16="http://schemas.microsoft.com/office/drawing/2014/main" pred="{C8B7A572-22B4-4C01-9340-40D3E86D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19050</xdr:rowOff>
    </xdr:to>
    <xdr:pic>
      <xdr:nvPicPr>
        <xdr:cNvPr id="16" name="Imagen 1">
          <a:extLst>
            <a:ext uri="{FF2B5EF4-FFF2-40B4-BE49-F238E27FC236}">
              <a16:creationId xmlns:a16="http://schemas.microsoft.com/office/drawing/2014/main" id="{975E1557-B510-438F-AC19-87C1228DB054}"/>
            </a:ext>
            <a:ext uri="{147F2762-F138-4A5C-976F-8EAC2B608ADB}">
              <a16:predDERef xmlns:a16="http://schemas.microsoft.com/office/drawing/2014/main" pred="{7F49F4C9-2221-41E2-AB0F-3004B4C1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19050</xdr:rowOff>
    </xdr:to>
    <xdr:pic>
      <xdr:nvPicPr>
        <xdr:cNvPr id="17" name="Imagen 1">
          <a:extLst>
            <a:ext uri="{FF2B5EF4-FFF2-40B4-BE49-F238E27FC236}">
              <a16:creationId xmlns:a16="http://schemas.microsoft.com/office/drawing/2014/main" id="{62427B08-B610-47D7-866F-4A29A7AAA7DA}"/>
            </a:ext>
            <a:ext uri="{147F2762-F138-4A5C-976F-8EAC2B608ADB}">
              <a16:predDERef xmlns:a16="http://schemas.microsoft.com/office/drawing/2014/main" pred="{803ECBBB-187C-42B6-B5A3-CE010EB8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19050</xdr:rowOff>
    </xdr:to>
    <xdr:pic>
      <xdr:nvPicPr>
        <xdr:cNvPr id="18" name="Imagen 1">
          <a:extLst>
            <a:ext uri="{FF2B5EF4-FFF2-40B4-BE49-F238E27FC236}">
              <a16:creationId xmlns:a16="http://schemas.microsoft.com/office/drawing/2014/main" id="{C5D19E07-642A-40E0-BBE2-8D8B37386C04}"/>
            </a:ext>
            <a:ext uri="{147F2762-F138-4A5C-976F-8EAC2B608ADB}">
              <a16:predDERef xmlns:a16="http://schemas.microsoft.com/office/drawing/2014/main" pred="{6AACCC32-073E-4C63-9B7D-7D84CCDE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19050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1CD27730-4211-4DCA-871B-E83D152925F7}"/>
            </a:ext>
            <a:ext uri="{147F2762-F138-4A5C-976F-8EAC2B608ADB}">
              <a16:predDERef xmlns:a16="http://schemas.microsoft.com/office/drawing/2014/main" pred="{CB2C754A-3533-4A49-B598-CDC61C98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19050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B4093F7F-A767-4ECD-ADDF-4DB067BDBDBC}"/>
            </a:ext>
            <a:ext uri="{147F2762-F138-4A5C-976F-8EAC2B608ADB}">
              <a16:predDERef xmlns:a16="http://schemas.microsoft.com/office/drawing/2014/main" pred="{FD952399-141C-4ACB-B14B-898E2105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5914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133350</xdr:colOff>
      <xdr:row>4</xdr:row>
      <xdr:rowOff>19050</xdr:rowOff>
    </xdr:to>
    <xdr:pic>
      <xdr:nvPicPr>
        <xdr:cNvPr id="21" name="Imagen 1">
          <a:extLst>
            <a:ext uri="{FF2B5EF4-FFF2-40B4-BE49-F238E27FC236}">
              <a16:creationId xmlns:a16="http://schemas.microsoft.com/office/drawing/2014/main" id="{488489C0-10AB-4963-BC62-CFA714EA511F}"/>
            </a:ext>
            <a:ext uri="{147F2762-F138-4A5C-976F-8EAC2B608ADB}">
              <a16:predDERef xmlns:a16="http://schemas.microsoft.com/office/drawing/2014/main" pred="{DAB8AC21-5575-4E1A-BA36-72645D40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133350</xdr:colOff>
      <xdr:row>5</xdr:row>
      <xdr:rowOff>19050</xdr:rowOff>
    </xdr:to>
    <xdr:pic>
      <xdr:nvPicPr>
        <xdr:cNvPr id="22" name="Imagen 1">
          <a:extLst>
            <a:ext uri="{FF2B5EF4-FFF2-40B4-BE49-F238E27FC236}">
              <a16:creationId xmlns:a16="http://schemas.microsoft.com/office/drawing/2014/main" id="{49FF4EA3-2108-43CF-B952-2E721F9D054F}"/>
            </a:ext>
            <a:ext uri="{147F2762-F138-4A5C-976F-8EAC2B608ADB}">
              <a16:predDERef xmlns:a16="http://schemas.microsoft.com/office/drawing/2014/main" pred="{488489C0-10AB-4963-BC62-CFA714EA5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133350</xdr:colOff>
      <xdr:row>6</xdr:row>
      <xdr:rowOff>19050</xdr:rowOff>
    </xdr:to>
    <xdr:pic>
      <xdr:nvPicPr>
        <xdr:cNvPr id="23" name="Imagen 1">
          <a:extLst>
            <a:ext uri="{FF2B5EF4-FFF2-40B4-BE49-F238E27FC236}">
              <a16:creationId xmlns:a16="http://schemas.microsoft.com/office/drawing/2014/main" id="{A7519F1C-5345-4CB4-9CBA-E8A13F456161}"/>
            </a:ext>
            <a:ext uri="{147F2762-F138-4A5C-976F-8EAC2B608ADB}">
              <a16:predDERef xmlns:a16="http://schemas.microsoft.com/office/drawing/2014/main" pred="{49FF4EA3-2108-43CF-B952-2E721F9D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133350</xdr:colOff>
      <xdr:row>7</xdr:row>
      <xdr:rowOff>19050</xdr:rowOff>
    </xdr:to>
    <xdr:pic>
      <xdr:nvPicPr>
        <xdr:cNvPr id="24" name="Imagen 1">
          <a:extLst>
            <a:ext uri="{FF2B5EF4-FFF2-40B4-BE49-F238E27FC236}">
              <a16:creationId xmlns:a16="http://schemas.microsoft.com/office/drawing/2014/main" id="{679B5F26-6698-4D42-A9B2-B7A8102983F6}"/>
            </a:ext>
            <a:ext uri="{147F2762-F138-4A5C-976F-8EAC2B608ADB}">
              <a16:predDERef xmlns:a16="http://schemas.microsoft.com/office/drawing/2014/main" pred="{A7519F1C-5345-4CB4-9CBA-E8A13F45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133350</xdr:colOff>
      <xdr:row>8</xdr:row>
      <xdr:rowOff>19050</xdr:rowOff>
    </xdr:to>
    <xdr:pic>
      <xdr:nvPicPr>
        <xdr:cNvPr id="25" name="Imagen 1">
          <a:extLst>
            <a:ext uri="{FF2B5EF4-FFF2-40B4-BE49-F238E27FC236}">
              <a16:creationId xmlns:a16="http://schemas.microsoft.com/office/drawing/2014/main" id="{1A1A26F2-2ECA-4E18-973E-941EC4362E28}"/>
            </a:ext>
            <a:ext uri="{147F2762-F138-4A5C-976F-8EAC2B608ADB}">
              <a16:predDERef xmlns:a16="http://schemas.microsoft.com/office/drawing/2014/main" pred="{679B5F26-6698-4D42-A9B2-B7A810298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133350</xdr:colOff>
      <xdr:row>9</xdr:row>
      <xdr:rowOff>19050</xdr:rowOff>
    </xdr:to>
    <xdr:pic>
      <xdr:nvPicPr>
        <xdr:cNvPr id="26" name="Imagen 1">
          <a:extLst>
            <a:ext uri="{FF2B5EF4-FFF2-40B4-BE49-F238E27FC236}">
              <a16:creationId xmlns:a16="http://schemas.microsoft.com/office/drawing/2014/main" id="{CFA24A3B-4CFB-439E-B002-FD717C2A25DB}"/>
            </a:ext>
            <a:ext uri="{147F2762-F138-4A5C-976F-8EAC2B608ADB}">
              <a16:predDERef xmlns:a16="http://schemas.microsoft.com/office/drawing/2014/main" pred="{1A1A26F2-2ECA-4E18-973E-941EC436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133350</xdr:colOff>
      <xdr:row>10</xdr:row>
      <xdr:rowOff>19050</xdr:rowOff>
    </xdr:to>
    <xdr:pic>
      <xdr:nvPicPr>
        <xdr:cNvPr id="27" name="Imagen 1">
          <a:extLst>
            <a:ext uri="{FF2B5EF4-FFF2-40B4-BE49-F238E27FC236}">
              <a16:creationId xmlns:a16="http://schemas.microsoft.com/office/drawing/2014/main" id="{B46A5C27-11FA-4F25-8000-37E3B96FFE21}"/>
            </a:ext>
            <a:ext uri="{147F2762-F138-4A5C-976F-8EAC2B608ADB}">
              <a16:predDERef xmlns:a16="http://schemas.microsoft.com/office/drawing/2014/main" pred="{CFA24A3B-4CFB-439E-B002-FD717C2A2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133350</xdr:colOff>
      <xdr:row>11</xdr:row>
      <xdr:rowOff>19050</xdr:rowOff>
    </xdr:to>
    <xdr:pic>
      <xdr:nvPicPr>
        <xdr:cNvPr id="28" name="Imagen 1">
          <a:extLst>
            <a:ext uri="{FF2B5EF4-FFF2-40B4-BE49-F238E27FC236}">
              <a16:creationId xmlns:a16="http://schemas.microsoft.com/office/drawing/2014/main" id="{7142518A-D21C-473A-AC47-7B9B0401618E}"/>
            </a:ext>
            <a:ext uri="{147F2762-F138-4A5C-976F-8EAC2B608ADB}">
              <a16:predDERef xmlns:a16="http://schemas.microsoft.com/office/drawing/2014/main" pred="{B46A5C27-11FA-4F25-8000-37E3B96F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133350</xdr:colOff>
      <xdr:row>12</xdr:row>
      <xdr:rowOff>19050</xdr:rowOff>
    </xdr:to>
    <xdr:pic>
      <xdr:nvPicPr>
        <xdr:cNvPr id="29" name="Imagen 1">
          <a:extLst>
            <a:ext uri="{FF2B5EF4-FFF2-40B4-BE49-F238E27FC236}">
              <a16:creationId xmlns:a16="http://schemas.microsoft.com/office/drawing/2014/main" id="{0AE837A3-797B-4DB5-AF45-A2016EF649E6}"/>
            </a:ext>
            <a:ext uri="{147F2762-F138-4A5C-976F-8EAC2B608ADB}">
              <a16:predDERef xmlns:a16="http://schemas.microsoft.com/office/drawing/2014/main" pred="{7142518A-D21C-473A-AC47-7B9B0401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7591425"/>
          <a:ext cx="133350" cy="228600"/>
        </a:xfrm>
        <a:prstGeom prst="rect">
          <a:avLst/>
        </a:prstGeom>
      </xdr:spPr>
    </xdr:pic>
    <xdr:clientData/>
  </xdr:twoCellAnchor>
  <xdr:twoCellAnchor>
    <xdr:from>
      <xdr:col>8</xdr:col>
      <xdr:colOff>8844</xdr:colOff>
      <xdr:row>1</xdr:row>
      <xdr:rowOff>9524</xdr:rowOff>
    </xdr:from>
    <xdr:to>
      <xdr:col>15</xdr:col>
      <xdr:colOff>319768</xdr:colOff>
      <xdr:row>13</xdr:row>
      <xdr:rowOff>0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133350</xdr:colOff>
      <xdr:row>15</xdr:row>
      <xdr:rowOff>19049</xdr:rowOff>
    </xdr:to>
    <xdr:pic>
      <xdr:nvPicPr>
        <xdr:cNvPr id="33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57912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133350</xdr:colOff>
      <xdr:row>16</xdr:row>
      <xdr:rowOff>19051</xdr:rowOff>
    </xdr:to>
    <xdr:pic>
      <xdr:nvPicPr>
        <xdr:cNvPr id="34" name="Imagen 1">
          <a:extLst>
            <a:ext uri="{FF2B5EF4-FFF2-40B4-BE49-F238E27FC236}">
              <a16:creationId xmlns:a16="http://schemas.microsoft.com/office/drawing/2014/main" id="{701E38FB-18EF-44D5-9C03-3FEE160DD195}"/>
            </a:ext>
            <a:ext uri="{147F2762-F138-4A5C-976F-8EAC2B608ADB}">
              <a16:predDERef xmlns:a16="http://schemas.microsoft.com/office/drawing/2014/main" pred="{E37488D8-8B50-43C3-A882-6354F97E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19050</xdr:rowOff>
    </xdr:to>
    <xdr:pic>
      <xdr:nvPicPr>
        <xdr:cNvPr id="35" name="Imagen 1">
          <a:extLst>
            <a:ext uri="{FF2B5EF4-FFF2-40B4-BE49-F238E27FC236}">
              <a16:creationId xmlns:a16="http://schemas.microsoft.com/office/drawing/2014/main" id="{214E4B13-4ADB-46AC-8629-D69D7A7BB08F}"/>
            </a:ext>
            <a:ext uri="{147F2762-F138-4A5C-976F-8EAC2B608ADB}">
              <a16:predDERef xmlns:a16="http://schemas.microsoft.com/office/drawing/2014/main" pred="{701E38FB-18EF-44D5-9C03-3FEE160DD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19050</xdr:rowOff>
    </xdr:to>
    <xdr:pic>
      <xdr:nvPicPr>
        <xdr:cNvPr id="36" name="Imagen 1">
          <a:extLst>
            <a:ext uri="{FF2B5EF4-FFF2-40B4-BE49-F238E27FC236}">
              <a16:creationId xmlns:a16="http://schemas.microsoft.com/office/drawing/2014/main" id="{BCB38319-CC5A-4C6F-A4D4-9C05137C672D}"/>
            </a:ext>
            <a:ext uri="{147F2762-F138-4A5C-976F-8EAC2B608ADB}">
              <a16:predDERef xmlns:a16="http://schemas.microsoft.com/office/drawing/2014/main" pred="{214E4B13-4ADB-46AC-8629-D69D7A7B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19050</xdr:rowOff>
    </xdr:to>
    <xdr:pic>
      <xdr:nvPicPr>
        <xdr:cNvPr id="37" name="Imagen 1">
          <a:extLst>
            <a:ext uri="{FF2B5EF4-FFF2-40B4-BE49-F238E27FC236}">
              <a16:creationId xmlns:a16="http://schemas.microsoft.com/office/drawing/2014/main" id="{7723E8D4-412A-45D3-93DD-50F495F91614}"/>
            </a:ext>
            <a:ext uri="{147F2762-F138-4A5C-976F-8EAC2B608ADB}">
              <a16:predDERef xmlns:a16="http://schemas.microsoft.com/office/drawing/2014/main" pred="{BCB38319-CC5A-4C6F-A4D4-9C05137C6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19050</xdr:rowOff>
    </xdr:to>
    <xdr:pic>
      <xdr:nvPicPr>
        <xdr:cNvPr id="38" name="Imagen 1">
          <a:extLst>
            <a:ext uri="{FF2B5EF4-FFF2-40B4-BE49-F238E27FC236}">
              <a16:creationId xmlns:a16="http://schemas.microsoft.com/office/drawing/2014/main" id="{417B7057-77F7-4455-8C59-16689398C1F9}"/>
            </a:ext>
            <a:ext uri="{147F2762-F138-4A5C-976F-8EAC2B608ADB}">
              <a16:predDERef xmlns:a16="http://schemas.microsoft.com/office/drawing/2014/main" pred="{7723E8D4-412A-45D3-93DD-50F495F91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19050</xdr:rowOff>
    </xdr:to>
    <xdr:pic>
      <xdr:nvPicPr>
        <xdr:cNvPr id="39" name="Imagen 1">
          <a:extLst>
            <a:ext uri="{FF2B5EF4-FFF2-40B4-BE49-F238E27FC236}">
              <a16:creationId xmlns:a16="http://schemas.microsoft.com/office/drawing/2014/main" id="{842DC71D-3A20-4B4E-962F-255A42AD3271}"/>
            </a:ext>
            <a:ext uri="{147F2762-F138-4A5C-976F-8EAC2B608ADB}">
              <a16:predDERef xmlns:a16="http://schemas.microsoft.com/office/drawing/2014/main" pred="{417B7057-77F7-4455-8C59-16689398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19049</xdr:rowOff>
    </xdr:to>
    <xdr:pic>
      <xdr:nvPicPr>
        <xdr:cNvPr id="40" name="Imagen 1">
          <a:extLst>
            <a:ext uri="{FF2B5EF4-FFF2-40B4-BE49-F238E27FC236}">
              <a16:creationId xmlns:a16="http://schemas.microsoft.com/office/drawing/2014/main" id="{CC0379F7-EE67-480D-9DAD-02000E839611}"/>
            </a:ext>
            <a:ext uri="{147F2762-F138-4A5C-976F-8EAC2B608ADB}">
              <a16:predDERef xmlns:a16="http://schemas.microsoft.com/office/drawing/2014/main" pred="{842DC71D-3A20-4B4E-962F-255A42AD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19051</xdr:rowOff>
    </xdr:to>
    <xdr:pic>
      <xdr:nvPicPr>
        <xdr:cNvPr id="41" name="Imagen 1">
          <a:extLst>
            <a:ext uri="{FF2B5EF4-FFF2-40B4-BE49-F238E27FC236}">
              <a16:creationId xmlns:a16="http://schemas.microsoft.com/office/drawing/2014/main" id="{63408500-41B1-4444-8124-F26E1B9F9D50}"/>
            </a:ext>
            <a:ext uri="{147F2762-F138-4A5C-976F-8EAC2B608ADB}">
              <a16:predDERef xmlns:a16="http://schemas.microsoft.com/office/drawing/2014/main" pred="{CC0379F7-EE67-480D-9DAD-02000E83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19050</xdr:rowOff>
    </xdr:to>
    <xdr:pic>
      <xdr:nvPicPr>
        <xdr:cNvPr id="42" name="Imagen 1">
          <a:extLst>
            <a:ext uri="{FF2B5EF4-FFF2-40B4-BE49-F238E27FC236}">
              <a16:creationId xmlns:a16="http://schemas.microsoft.com/office/drawing/2014/main" id="{EED8D005-F547-49E4-9A16-3AC8A2C11BAE}"/>
            </a:ext>
            <a:ext uri="{147F2762-F138-4A5C-976F-8EAC2B608ADB}">
              <a16:predDERef xmlns:a16="http://schemas.microsoft.com/office/drawing/2014/main" pred="{63408500-41B1-4444-8124-F26E1B9F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5914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133350</xdr:colOff>
      <xdr:row>16</xdr:row>
      <xdr:rowOff>19051</xdr:rowOff>
    </xdr:to>
    <xdr:pic>
      <xdr:nvPicPr>
        <xdr:cNvPr id="43" name="Imagen 1">
          <a:extLst>
            <a:ext uri="{FF2B5EF4-FFF2-40B4-BE49-F238E27FC236}">
              <a16:creationId xmlns:a16="http://schemas.microsoft.com/office/drawing/2014/main" id="{0ECBA938-2F81-4811-9FEE-F6A52A6A53EA}"/>
            </a:ext>
            <a:ext uri="{147F2762-F138-4A5C-976F-8EAC2B608ADB}">
              <a16:predDERef xmlns:a16="http://schemas.microsoft.com/office/drawing/2014/main" pred="{EED8D005-F547-49E4-9A16-3AC8A2C1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19050</xdr:rowOff>
    </xdr:to>
    <xdr:pic>
      <xdr:nvPicPr>
        <xdr:cNvPr id="44" name="Imagen 1">
          <a:extLst>
            <a:ext uri="{FF2B5EF4-FFF2-40B4-BE49-F238E27FC236}">
              <a16:creationId xmlns:a16="http://schemas.microsoft.com/office/drawing/2014/main" id="{2266E8CA-745B-4F6D-A3A7-FE3552748940}"/>
            </a:ext>
            <a:ext uri="{147F2762-F138-4A5C-976F-8EAC2B608ADB}">
              <a16:predDERef xmlns:a16="http://schemas.microsoft.com/office/drawing/2014/main" pred="{0ECBA938-2F81-4811-9FEE-F6A52A6A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19050</xdr:rowOff>
    </xdr:to>
    <xdr:pic>
      <xdr:nvPicPr>
        <xdr:cNvPr id="45" name="Imagen 1">
          <a:extLst>
            <a:ext uri="{FF2B5EF4-FFF2-40B4-BE49-F238E27FC236}">
              <a16:creationId xmlns:a16="http://schemas.microsoft.com/office/drawing/2014/main" id="{0B8572ED-B4B5-4484-8A74-3FE002407F3A}"/>
            </a:ext>
            <a:ext uri="{147F2762-F138-4A5C-976F-8EAC2B608ADB}">
              <a16:predDERef xmlns:a16="http://schemas.microsoft.com/office/drawing/2014/main" pred="{2266E8CA-745B-4F6D-A3A7-FE3552748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19050</xdr:rowOff>
    </xdr:to>
    <xdr:pic>
      <xdr:nvPicPr>
        <xdr:cNvPr id="46" name="Imagen 1">
          <a:extLst>
            <a:ext uri="{FF2B5EF4-FFF2-40B4-BE49-F238E27FC236}">
              <a16:creationId xmlns:a16="http://schemas.microsoft.com/office/drawing/2014/main" id="{82B62397-20E8-4E2B-9EE5-36E254BEF11F}"/>
            </a:ext>
            <a:ext uri="{147F2762-F138-4A5C-976F-8EAC2B608ADB}">
              <a16:predDERef xmlns:a16="http://schemas.microsoft.com/office/drawing/2014/main" pred="{0B8572ED-B4B5-4484-8A74-3FE00240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19050</xdr:rowOff>
    </xdr:to>
    <xdr:pic>
      <xdr:nvPicPr>
        <xdr:cNvPr id="47" name="Imagen 1">
          <a:extLst>
            <a:ext uri="{FF2B5EF4-FFF2-40B4-BE49-F238E27FC236}">
              <a16:creationId xmlns:a16="http://schemas.microsoft.com/office/drawing/2014/main" id="{2749260C-B244-4462-BB83-2EE90F655563}"/>
            </a:ext>
            <a:ext uri="{147F2762-F138-4A5C-976F-8EAC2B608ADB}">
              <a16:predDERef xmlns:a16="http://schemas.microsoft.com/office/drawing/2014/main" pred="{82B62397-20E8-4E2B-9EE5-36E254BEF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19050</xdr:rowOff>
    </xdr:to>
    <xdr:pic>
      <xdr:nvPicPr>
        <xdr:cNvPr id="48" name="Imagen 1">
          <a:extLst>
            <a:ext uri="{FF2B5EF4-FFF2-40B4-BE49-F238E27FC236}">
              <a16:creationId xmlns:a16="http://schemas.microsoft.com/office/drawing/2014/main" id="{D4511E47-E383-4822-8917-E10AFB8FCD83}"/>
            </a:ext>
            <a:ext uri="{147F2762-F138-4A5C-976F-8EAC2B608ADB}">
              <a16:predDERef xmlns:a16="http://schemas.microsoft.com/office/drawing/2014/main" pred="{2749260C-B244-4462-BB83-2EE90F655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19049</xdr:rowOff>
    </xdr:to>
    <xdr:pic>
      <xdr:nvPicPr>
        <xdr:cNvPr id="49" name="Imagen 1">
          <a:extLst>
            <a:ext uri="{FF2B5EF4-FFF2-40B4-BE49-F238E27FC236}">
              <a16:creationId xmlns:a16="http://schemas.microsoft.com/office/drawing/2014/main" id="{3B827E40-B1FA-41F9-9A3F-37560919DD36}"/>
            </a:ext>
            <a:ext uri="{147F2762-F138-4A5C-976F-8EAC2B608ADB}">
              <a16:predDERef xmlns:a16="http://schemas.microsoft.com/office/drawing/2014/main" pred="{D4511E47-E383-4822-8917-E10AFB8F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19051</xdr:rowOff>
    </xdr:to>
    <xdr:pic>
      <xdr:nvPicPr>
        <xdr:cNvPr id="50" name="Imagen 1">
          <a:extLst>
            <a:ext uri="{FF2B5EF4-FFF2-40B4-BE49-F238E27FC236}">
              <a16:creationId xmlns:a16="http://schemas.microsoft.com/office/drawing/2014/main" id="{90F8AAE0-9C06-4667-877B-8B23B12A03B5}"/>
            </a:ext>
            <a:ext uri="{147F2762-F138-4A5C-976F-8EAC2B608ADB}">
              <a16:predDERef xmlns:a16="http://schemas.microsoft.com/office/drawing/2014/main" pred="{3B827E40-B1FA-41F9-9A3F-37560919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19050</xdr:rowOff>
    </xdr:to>
    <xdr:pic>
      <xdr:nvPicPr>
        <xdr:cNvPr id="51" name="Imagen 1">
          <a:extLst>
            <a:ext uri="{FF2B5EF4-FFF2-40B4-BE49-F238E27FC236}">
              <a16:creationId xmlns:a16="http://schemas.microsoft.com/office/drawing/2014/main" id="{DAB8AC21-5575-4E1A-BA36-72645D404E89}"/>
            </a:ext>
            <a:ext uri="{147F2762-F138-4A5C-976F-8EAC2B608ADB}">
              <a16:predDERef xmlns:a16="http://schemas.microsoft.com/office/drawing/2014/main" pred="{90F8AAE0-9C06-4667-877B-8B23B12A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5914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133350</xdr:colOff>
      <xdr:row>16</xdr:row>
      <xdr:rowOff>19051</xdr:rowOff>
    </xdr:to>
    <xdr:pic>
      <xdr:nvPicPr>
        <xdr:cNvPr id="52" name="Imagen 1">
          <a:extLst>
            <a:ext uri="{FF2B5EF4-FFF2-40B4-BE49-F238E27FC236}">
              <a16:creationId xmlns:a16="http://schemas.microsoft.com/office/drawing/2014/main" id="{D62DFDA5-12D5-4457-A67A-DDCE243811D2}"/>
            </a:ext>
            <a:ext uri="{147F2762-F138-4A5C-976F-8EAC2B608ADB}">
              <a16:predDERef xmlns:a16="http://schemas.microsoft.com/office/drawing/2014/main" pred="{0AE837A3-797B-4DB5-AF45-A2016EF64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59912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133350</xdr:colOff>
      <xdr:row>17</xdr:row>
      <xdr:rowOff>19050</xdr:rowOff>
    </xdr:to>
    <xdr:pic>
      <xdr:nvPicPr>
        <xdr:cNvPr id="53" name="Imagen 1">
          <a:extLst>
            <a:ext uri="{FF2B5EF4-FFF2-40B4-BE49-F238E27FC236}">
              <a16:creationId xmlns:a16="http://schemas.microsoft.com/office/drawing/2014/main" id="{4B57797E-9D3B-446E-B267-FD3C6D4282A4}"/>
            </a:ext>
            <a:ext uri="{147F2762-F138-4A5C-976F-8EAC2B608ADB}">
              <a16:predDERef xmlns:a16="http://schemas.microsoft.com/office/drawing/2014/main" pred="{D62DFDA5-12D5-4457-A67A-DDCE2438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1912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133350</xdr:colOff>
      <xdr:row>18</xdr:row>
      <xdr:rowOff>19050</xdr:rowOff>
    </xdr:to>
    <xdr:pic>
      <xdr:nvPicPr>
        <xdr:cNvPr id="54" name="Imagen 1">
          <a:extLst>
            <a:ext uri="{FF2B5EF4-FFF2-40B4-BE49-F238E27FC236}">
              <a16:creationId xmlns:a16="http://schemas.microsoft.com/office/drawing/2014/main" id="{B8E6E689-AED3-42FC-A440-FC693C998E91}"/>
            </a:ext>
            <a:ext uri="{147F2762-F138-4A5C-976F-8EAC2B608ADB}">
              <a16:predDERef xmlns:a16="http://schemas.microsoft.com/office/drawing/2014/main" pred="{4B57797E-9D3B-446E-B267-FD3C6D42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3912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133350</xdr:colOff>
      <xdr:row>19</xdr:row>
      <xdr:rowOff>19050</xdr:rowOff>
    </xdr:to>
    <xdr:pic>
      <xdr:nvPicPr>
        <xdr:cNvPr id="55" name="Imagen 1">
          <a:extLst>
            <a:ext uri="{FF2B5EF4-FFF2-40B4-BE49-F238E27FC236}">
              <a16:creationId xmlns:a16="http://schemas.microsoft.com/office/drawing/2014/main" id="{58C2C7F2-6F8D-4EC7-B80F-9EA021244B7D}"/>
            </a:ext>
            <a:ext uri="{147F2762-F138-4A5C-976F-8EAC2B608ADB}">
              <a16:predDERef xmlns:a16="http://schemas.microsoft.com/office/drawing/2014/main" pred="{B8E6E689-AED3-42FC-A440-FC693C99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5913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133350</xdr:colOff>
      <xdr:row>20</xdr:row>
      <xdr:rowOff>19050</xdr:rowOff>
    </xdr:to>
    <xdr:pic>
      <xdr:nvPicPr>
        <xdr:cNvPr id="56" name="Imagen 1">
          <a:extLst>
            <a:ext uri="{FF2B5EF4-FFF2-40B4-BE49-F238E27FC236}">
              <a16:creationId xmlns:a16="http://schemas.microsoft.com/office/drawing/2014/main" id="{2C61218C-01C1-4550-ADAF-B2D3E39485F3}"/>
            </a:ext>
            <a:ext uri="{147F2762-F138-4A5C-976F-8EAC2B608ADB}">
              <a16:predDERef xmlns:a16="http://schemas.microsoft.com/office/drawing/2014/main" pred="{58C2C7F2-6F8D-4EC7-B80F-9EA02124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79132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133350</xdr:colOff>
      <xdr:row>21</xdr:row>
      <xdr:rowOff>19050</xdr:rowOff>
    </xdr:to>
    <xdr:pic>
      <xdr:nvPicPr>
        <xdr:cNvPr id="57" name="Imagen 1">
          <a:extLst>
            <a:ext uri="{FF2B5EF4-FFF2-40B4-BE49-F238E27FC236}">
              <a16:creationId xmlns:a16="http://schemas.microsoft.com/office/drawing/2014/main" id="{3B69B8F9-B43C-4887-A4BE-353CCD8B3BEF}"/>
            </a:ext>
            <a:ext uri="{147F2762-F138-4A5C-976F-8EAC2B608ADB}">
              <a16:predDERef xmlns:a16="http://schemas.microsoft.com/office/drawing/2014/main" pred="{2C61218C-01C1-4550-ADAF-B2D3E394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699135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133350</xdr:colOff>
      <xdr:row>22</xdr:row>
      <xdr:rowOff>19049</xdr:rowOff>
    </xdr:to>
    <xdr:pic>
      <xdr:nvPicPr>
        <xdr:cNvPr id="58" name="Imagen 1">
          <a:extLst>
            <a:ext uri="{FF2B5EF4-FFF2-40B4-BE49-F238E27FC236}">
              <a16:creationId xmlns:a16="http://schemas.microsoft.com/office/drawing/2014/main" id="{527517F8-2A45-45F5-BF2B-D55BC1BADA00}"/>
            </a:ext>
            <a:ext uri="{147F2762-F138-4A5C-976F-8EAC2B608ADB}">
              <a16:predDERef xmlns:a16="http://schemas.microsoft.com/office/drawing/2014/main" pred="{3B69B8F9-B43C-4887-A4BE-353CCD8B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191375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133350</xdr:colOff>
      <xdr:row>23</xdr:row>
      <xdr:rowOff>19051</xdr:rowOff>
    </xdr:to>
    <xdr:pic>
      <xdr:nvPicPr>
        <xdr:cNvPr id="59" name="Imagen 1">
          <a:extLst>
            <a:ext uri="{FF2B5EF4-FFF2-40B4-BE49-F238E27FC236}">
              <a16:creationId xmlns:a16="http://schemas.microsoft.com/office/drawing/2014/main" id="{DA40F2EE-7F8D-4C1E-B1BC-43207623BB03}"/>
            </a:ext>
            <a:ext uri="{147F2762-F138-4A5C-976F-8EAC2B608ADB}">
              <a16:predDERef xmlns:a16="http://schemas.microsoft.com/office/drawing/2014/main" pred="{527517F8-2A45-45F5-BF2B-D55BC1BA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391400"/>
          <a:ext cx="1333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133350</xdr:colOff>
      <xdr:row>24</xdr:row>
      <xdr:rowOff>19050</xdr:rowOff>
    </xdr:to>
    <xdr:pic>
      <xdr:nvPicPr>
        <xdr:cNvPr id="60" name="Imagen 1">
          <a:extLst>
            <a:ext uri="{FF2B5EF4-FFF2-40B4-BE49-F238E27FC236}">
              <a16:creationId xmlns:a16="http://schemas.microsoft.com/office/drawing/2014/main" id="{0927F54A-E5EB-49E2-ADC7-0333F2928BD4}"/>
            </a:ext>
            <a:ext uri="{147F2762-F138-4A5C-976F-8EAC2B608ADB}">
              <a16:predDERef xmlns:a16="http://schemas.microsoft.com/office/drawing/2014/main" pred="{DA40F2EE-7F8D-4C1E-B1BC-43207623B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2425" y="7591425"/>
          <a:ext cx="133350" cy="2286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15</xdr:row>
      <xdr:rowOff>0</xdr:rowOff>
    </xdr:from>
    <xdr:ext cx="133350" cy="229960"/>
    <xdr:pic>
      <xdr:nvPicPr>
        <xdr:cNvPr id="61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33350" cy="229960"/>
    <xdr:pic>
      <xdr:nvPicPr>
        <xdr:cNvPr id="62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33350" cy="229960"/>
    <xdr:pic>
      <xdr:nvPicPr>
        <xdr:cNvPr id="63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33350" cy="229960"/>
    <xdr:pic>
      <xdr:nvPicPr>
        <xdr:cNvPr id="64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33350" cy="229960"/>
    <xdr:pic>
      <xdr:nvPicPr>
        <xdr:cNvPr id="65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33350" cy="229960"/>
    <xdr:pic>
      <xdr:nvPicPr>
        <xdr:cNvPr id="66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33350" cy="229960"/>
    <xdr:pic>
      <xdr:nvPicPr>
        <xdr:cNvPr id="67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33350" cy="229960"/>
    <xdr:pic>
      <xdr:nvPicPr>
        <xdr:cNvPr id="68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33350" cy="229960"/>
    <xdr:pic>
      <xdr:nvPicPr>
        <xdr:cNvPr id="69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3350" cy="229960"/>
    <xdr:pic>
      <xdr:nvPicPr>
        <xdr:cNvPr id="70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3350" cy="229960"/>
    <xdr:pic>
      <xdr:nvPicPr>
        <xdr:cNvPr id="71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3350" cy="229960"/>
    <xdr:pic>
      <xdr:nvPicPr>
        <xdr:cNvPr id="72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3350" cy="229960"/>
    <xdr:pic>
      <xdr:nvPicPr>
        <xdr:cNvPr id="73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3350" cy="229960"/>
    <xdr:pic>
      <xdr:nvPicPr>
        <xdr:cNvPr id="74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3350" cy="229960"/>
    <xdr:pic>
      <xdr:nvPicPr>
        <xdr:cNvPr id="75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3350" cy="229960"/>
    <xdr:pic>
      <xdr:nvPicPr>
        <xdr:cNvPr id="76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3350" cy="229960"/>
    <xdr:pic>
      <xdr:nvPicPr>
        <xdr:cNvPr id="77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33350" cy="229960"/>
    <xdr:pic>
      <xdr:nvPicPr>
        <xdr:cNvPr id="78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33350" cy="229960"/>
    <xdr:pic>
      <xdr:nvPicPr>
        <xdr:cNvPr id="79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3350" cy="229960"/>
    <xdr:pic>
      <xdr:nvPicPr>
        <xdr:cNvPr id="80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3350" cy="229960"/>
    <xdr:pic>
      <xdr:nvPicPr>
        <xdr:cNvPr id="81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3350" cy="229960"/>
    <xdr:pic>
      <xdr:nvPicPr>
        <xdr:cNvPr id="82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3350" cy="229960"/>
    <xdr:pic>
      <xdr:nvPicPr>
        <xdr:cNvPr id="83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3350" cy="229960"/>
    <xdr:pic>
      <xdr:nvPicPr>
        <xdr:cNvPr id="84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3350" cy="229960"/>
    <xdr:pic>
      <xdr:nvPicPr>
        <xdr:cNvPr id="85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3350" cy="229960"/>
    <xdr:pic>
      <xdr:nvPicPr>
        <xdr:cNvPr id="86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3350" cy="229960"/>
    <xdr:pic>
      <xdr:nvPicPr>
        <xdr:cNvPr id="87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3350" cy="229960"/>
    <xdr:pic>
      <xdr:nvPicPr>
        <xdr:cNvPr id="88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3350" cy="229960"/>
    <xdr:pic>
      <xdr:nvPicPr>
        <xdr:cNvPr id="89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3350" cy="229960"/>
    <xdr:pic>
      <xdr:nvPicPr>
        <xdr:cNvPr id="90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3350" cy="229960"/>
    <xdr:pic>
      <xdr:nvPicPr>
        <xdr:cNvPr id="91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3350" cy="229960"/>
    <xdr:pic>
      <xdr:nvPicPr>
        <xdr:cNvPr id="92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3350" cy="229960"/>
    <xdr:pic>
      <xdr:nvPicPr>
        <xdr:cNvPr id="93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3350" cy="229960"/>
    <xdr:pic>
      <xdr:nvPicPr>
        <xdr:cNvPr id="94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3350" cy="229960"/>
    <xdr:pic>
      <xdr:nvPicPr>
        <xdr:cNvPr id="95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33350" cy="229960"/>
    <xdr:pic>
      <xdr:nvPicPr>
        <xdr:cNvPr id="96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33350" cy="229960"/>
    <xdr:pic>
      <xdr:nvPicPr>
        <xdr:cNvPr id="97" name="Imagen 1">
          <a:extLst>
            <a:ext uri="{FF2B5EF4-FFF2-40B4-BE49-F238E27FC236}">
              <a16:creationId xmlns:a16="http://schemas.microsoft.com/office/drawing/2014/main" id="{E37488D8-8B50-43C3-A882-6354F97E0B11}"/>
            </a:ext>
            <a:ext uri="{147F2762-F138-4A5C-976F-8EAC2B608ADB}">
              <a16:predDERef xmlns:a16="http://schemas.microsoft.com/office/drawing/2014/main" pred="{FD0F0A07-73C8-44BA-A947-3EC6BEED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2925536"/>
          <a:ext cx="133350" cy="229960"/>
        </a:xfrm>
        <a:prstGeom prst="rect">
          <a:avLst/>
        </a:prstGeom>
      </xdr:spPr>
    </xdr:pic>
    <xdr:clientData/>
  </xdr:oneCellAnchor>
  <xdr:twoCellAnchor>
    <xdr:from>
      <xdr:col>8</xdr:col>
      <xdr:colOff>0</xdr:colOff>
      <xdr:row>14</xdr:row>
      <xdr:rowOff>1</xdr:rowOff>
    </xdr:from>
    <xdr:to>
      <xdr:col>15</xdr:col>
      <xdr:colOff>310924</xdr:colOff>
      <xdr:row>26</xdr:row>
      <xdr:rowOff>7621</xdr:rowOff>
    </xdr:to>
    <xdr:graphicFrame macro="">
      <xdr:nvGraphicFramePr>
        <xdr:cNvPr id="99" name="Gráfico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opLeftCell="A11" workbookViewId="0">
      <selection activeCell="L26" sqref="L26"/>
    </sheetView>
  </sheetViews>
  <sheetFormatPr baseColWidth="10" defaultColWidth="9.140625" defaultRowHeight="15" x14ac:dyDescent="0.2"/>
  <cols>
    <col min="1" max="1" width="11.42578125" style="2" bestFit="1" customWidth="1"/>
    <col min="2" max="2" width="16" style="2" customWidth="1"/>
    <col min="3" max="3" width="13.140625" style="2" customWidth="1"/>
    <col min="4" max="4" width="17.140625" style="2" customWidth="1"/>
    <col min="5" max="5" width="13.140625" style="2" customWidth="1"/>
    <col min="6" max="6" width="15.42578125" style="2" customWidth="1"/>
    <col min="7" max="7" width="12.85546875" style="2" customWidth="1"/>
    <col min="8" max="8" width="13.7109375" style="2" customWidth="1"/>
    <col min="9" max="9" width="13.28515625" style="2" customWidth="1"/>
    <col min="10" max="10" width="12.28515625" style="2" customWidth="1"/>
    <col min="11" max="12" width="13.140625" style="2" bestFit="1" customWidth="1"/>
    <col min="13" max="13" width="12" style="2" customWidth="1"/>
    <col min="14" max="14" width="12.42578125" style="2" customWidth="1"/>
    <col min="15" max="15" width="10.28515625" style="2" customWidth="1"/>
    <col min="16" max="16384" width="9.140625" style="2"/>
  </cols>
  <sheetData>
    <row r="1" spans="1:14" x14ac:dyDescent="0.2">
      <c r="A1" s="2" t="s">
        <v>0</v>
      </c>
    </row>
    <row r="2" spans="1:14" ht="30" x14ac:dyDescent="0.2">
      <c r="A2" s="26" t="s">
        <v>1</v>
      </c>
      <c r="B2" s="24" t="s">
        <v>2</v>
      </c>
      <c r="C2" s="12" t="s">
        <v>3</v>
      </c>
      <c r="D2" s="24" t="s">
        <v>4</v>
      </c>
      <c r="E2" s="12" t="s">
        <v>5</v>
      </c>
      <c r="F2" s="24" t="s">
        <v>6</v>
      </c>
      <c r="G2" s="12" t="s">
        <v>7</v>
      </c>
      <c r="H2" s="22" t="s">
        <v>8</v>
      </c>
      <c r="L2" s="6"/>
      <c r="M2" s="6"/>
      <c r="N2" s="6"/>
    </row>
    <row r="3" spans="1:14" x14ac:dyDescent="0.2">
      <c r="A3" s="27">
        <v>1</v>
      </c>
      <c r="B3" s="25">
        <v>13</v>
      </c>
      <c r="C3" s="8">
        <f t="shared" ref="C3:C12" si="0">$H3/B3</f>
        <v>7.6923076923076927E-2</v>
      </c>
      <c r="D3" s="25">
        <v>20</v>
      </c>
      <c r="E3" s="8">
        <f t="shared" ref="E3:E12" si="1">$H3/D3</f>
        <v>0.05</v>
      </c>
      <c r="F3" s="25">
        <v>51</v>
      </c>
      <c r="G3" s="8">
        <f t="shared" ref="G3:G12" si="2">$H3/F3</f>
        <v>1.9607843137254902E-2</v>
      </c>
      <c r="H3" s="23">
        <v>1</v>
      </c>
      <c r="M3" s="2" t="s">
        <v>9</v>
      </c>
      <c r="N3" s="1">
        <f>ROUNDDOWN(PI(),3)</f>
        <v>3.141</v>
      </c>
    </row>
    <row r="4" spans="1:14" x14ac:dyDescent="0.2">
      <c r="A4" s="27">
        <v>2</v>
      </c>
      <c r="B4" s="25">
        <v>13</v>
      </c>
      <c r="C4" s="8">
        <f t="shared" si="0"/>
        <v>7.6923076923076927E-2</v>
      </c>
      <c r="D4" s="25">
        <v>20</v>
      </c>
      <c r="E4" s="8">
        <f t="shared" si="1"/>
        <v>0.05</v>
      </c>
      <c r="F4" s="25">
        <v>50</v>
      </c>
      <c r="G4" s="8">
        <f t="shared" si="2"/>
        <v>0.02</v>
      </c>
      <c r="H4" s="23">
        <v>1</v>
      </c>
      <c r="N4" s="3"/>
    </row>
    <row r="5" spans="1:14" x14ac:dyDescent="0.2">
      <c r="A5" s="27">
        <v>3</v>
      </c>
      <c r="B5" s="25">
        <v>14</v>
      </c>
      <c r="C5" s="8">
        <f t="shared" si="0"/>
        <v>7.1428571428571425E-2</v>
      </c>
      <c r="D5" s="25">
        <v>20</v>
      </c>
      <c r="E5" s="8">
        <f t="shared" si="1"/>
        <v>0.05</v>
      </c>
      <c r="F5" s="25">
        <v>51</v>
      </c>
      <c r="G5" s="8">
        <f t="shared" si="2"/>
        <v>1.9607843137254902E-2</v>
      </c>
      <c r="H5" s="23">
        <v>1</v>
      </c>
      <c r="N5" s="3"/>
    </row>
    <row r="6" spans="1:14" x14ac:dyDescent="0.2">
      <c r="A6" s="27">
        <v>4</v>
      </c>
      <c r="B6" s="25">
        <v>13</v>
      </c>
      <c r="C6" s="8">
        <f t="shared" si="0"/>
        <v>7.6923076923076927E-2</v>
      </c>
      <c r="D6" s="25">
        <v>20</v>
      </c>
      <c r="E6" s="8">
        <f t="shared" si="1"/>
        <v>0.05</v>
      </c>
      <c r="F6" s="25">
        <v>51</v>
      </c>
      <c r="G6" s="8">
        <f t="shared" si="2"/>
        <v>1.9607843137254902E-2</v>
      </c>
      <c r="H6" s="23">
        <v>1</v>
      </c>
      <c r="N6" s="3"/>
    </row>
    <row r="7" spans="1:14" x14ac:dyDescent="0.2">
      <c r="A7" s="27">
        <v>5</v>
      </c>
      <c r="B7" s="25">
        <v>13</v>
      </c>
      <c r="C7" s="8">
        <f t="shared" si="0"/>
        <v>7.6923076923076927E-2</v>
      </c>
      <c r="D7" s="25">
        <v>20</v>
      </c>
      <c r="E7" s="8">
        <f t="shared" si="1"/>
        <v>0.05</v>
      </c>
      <c r="F7" s="25">
        <v>51</v>
      </c>
      <c r="G7" s="8">
        <f t="shared" si="2"/>
        <v>1.9607843137254902E-2</v>
      </c>
      <c r="H7" s="23">
        <v>1</v>
      </c>
      <c r="N7" s="3"/>
    </row>
    <row r="8" spans="1:14" x14ac:dyDescent="0.2">
      <c r="A8" s="27">
        <v>6</v>
      </c>
      <c r="B8" s="25">
        <v>13</v>
      </c>
      <c r="C8" s="8">
        <f t="shared" si="0"/>
        <v>7.6923076923076927E-2</v>
      </c>
      <c r="D8" s="25">
        <v>20</v>
      </c>
      <c r="E8" s="8">
        <f t="shared" si="1"/>
        <v>0.05</v>
      </c>
      <c r="F8" s="25">
        <v>51</v>
      </c>
      <c r="G8" s="8">
        <f t="shared" si="2"/>
        <v>1.9607843137254902E-2</v>
      </c>
      <c r="H8" s="23">
        <v>1</v>
      </c>
      <c r="N8" s="3"/>
    </row>
    <row r="9" spans="1:14" x14ac:dyDescent="0.2">
      <c r="A9" s="27">
        <v>7</v>
      </c>
      <c r="B9" s="25">
        <v>13</v>
      </c>
      <c r="C9" s="8">
        <f t="shared" si="0"/>
        <v>7.6923076923076927E-2</v>
      </c>
      <c r="D9" s="25">
        <v>20</v>
      </c>
      <c r="E9" s="8">
        <f t="shared" si="1"/>
        <v>0.05</v>
      </c>
      <c r="F9" s="25">
        <v>50</v>
      </c>
      <c r="G9" s="8">
        <f t="shared" si="2"/>
        <v>0.02</v>
      </c>
      <c r="H9" s="23">
        <v>1</v>
      </c>
      <c r="N9" s="3"/>
    </row>
    <row r="10" spans="1:14" ht="15.75" thickBot="1" x14ac:dyDescent="0.25">
      <c r="A10" s="27">
        <v>8</v>
      </c>
      <c r="B10" s="25">
        <v>13</v>
      </c>
      <c r="C10" s="8">
        <f t="shared" si="0"/>
        <v>7.6923076923076927E-2</v>
      </c>
      <c r="D10" s="25">
        <v>20</v>
      </c>
      <c r="E10" s="8">
        <f t="shared" si="1"/>
        <v>0.05</v>
      </c>
      <c r="F10" s="25">
        <v>50</v>
      </c>
      <c r="G10" s="8">
        <f t="shared" si="2"/>
        <v>0.02</v>
      </c>
      <c r="H10" s="23">
        <v>1</v>
      </c>
      <c r="N10" s="3"/>
    </row>
    <row r="11" spans="1:14" ht="15.75" thickBot="1" x14ac:dyDescent="0.25">
      <c r="A11" s="27">
        <v>9</v>
      </c>
      <c r="B11" s="25">
        <v>14</v>
      </c>
      <c r="C11" s="8">
        <f t="shared" si="0"/>
        <v>7.1428571428571425E-2</v>
      </c>
      <c r="D11" s="25">
        <v>20</v>
      </c>
      <c r="E11" s="8">
        <f t="shared" si="1"/>
        <v>0.05</v>
      </c>
      <c r="F11" s="25">
        <v>51</v>
      </c>
      <c r="G11" s="8">
        <f t="shared" si="2"/>
        <v>1.9607843137254902E-2</v>
      </c>
      <c r="H11" s="23">
        <v>1</v>
      </c>
      <c r="J11" s="2" t="s">
        <v>10</v>
      </c>
      <c r="N11" s="3"/>
    </row>
    <row r="12" spans="1:14" ht="15.75" thickBot="1" x14ac:dyDescent="0.25">
      <c r="A12" s="27">
        <v>10</v>
      </c>
      <c r="B12" s="25">
        <v>14</v>
      </c>
      <c r="C12" s="8">
        <f t="shared" si="0"/>
        <v>7.1428571428571425E-2</v>
      </c>
      <c r="D12" s="25">
        <v>20</v>
      </c>
      <c r="E12" s="8">
        <f t="shared" si="1"/>
        <v>0.05</v>
      </c>
      <c r="F12" s="25">
        <v>50</v>
      </c>
      <c r="G12" s="8">
        <f t="shared" si="2"/>
        <v>0.02</v>
      </c>
      <c r="H12" s="23">
        <v>1</v>
      </c>
      <c r="J12" s="2" t="s">
        <v>38</v>
      </c>
      <c r="K12" s="2" t="s">
        <v>39</v>
      </c>
      <c r="L12" s="28" t="s">
        <v>40</v>
      </c>
      <c r="N12" s="3"/>
    </row>
    <row r="13" spans="1:14" x14ac:dyDescent="0.2">
      <c r="B13" s="19" t="s">
        <v>11</v>
      </c>
      <c r="D13" s="19" t="s">
        <v>12</v>
      </c>
      <c r="F13" s="2" t="s">
        <v>13</v>
      </c>
      <c r="J13" s="2">
        <f>20*20*N3*51/4/1000</f>
        <v>16.019100000000002</v>
      </c>
      <c r="K13" s="2">
        <f>N3*13*13*51/4/1000</f>
        <v>6.7680697499999996</v>
      </c>
      <c r="L13" s="28">
        <f>J13-K13</f>
        <v>9.251030250000003</v>
      </c>
      <c r="N13" s="3"/>
    </row>
    <row r="14" spans="1:14" x14ac:dyDescent="0.2">
      <c r="A14" s="2" t="s">
        <v>14</v>
      </c>
      <c r="N14" s="3"/>
    </row>
    <row r="15" spans="1:14" ht="30" x14ac:dyDescent="0.2">
      <c r="A15" s="26" t="s">
        <v>1</v>
      </c>
      <c r="B15" s="24" t="s">
        <v>2</v>
      </c>
      <c r="C15" s="12" t="s">
        <v>3</v>
      </c>
      <c r="D15" s="24" t="s">
        <v>4</v>
      </c>
      <c r="E15" s="12" t="s">
        <v>5</v>
      </c>
      <c r="F15" s="24" t="s">
        <v>6</v>
      </c>
      <c r="G15" s="12" t="s">
        <v>7</v>
      </c>
      <c r="H15" s="12" t="s">
        <v>8</v>
      </c>
      <c r="N15" s="3"/>
    </row>
    <row r="16" spans="1:14" x14ac:dyDescent="0.2">
      <c r="A16" s="27">
        <v>1</v>
      </c>
      <c r="B16" s="25">
        <v>13</v>
      </c>
      <c r="C16" s="9">
        <f t="shared" ref="C16:C25" si="3">$H16/B16</f>
        <v>1.5384615384615385E-3</v>
      </c>
      <c r="D16" s="25">
        <v>20.399999999999999</v>
      </c>
      <c r="E16" s="9">
        <f t="shared" ref="E16:E25" si="4">$H16/D16</f>
        <v>9.8039215686274508E-4</v>
      </c>
      <c r="F16" s="25">
        <v>50.8</v>
      </c>
      <c r="G16" s="9">
        <f t="shared" ref="G16:G25" si="5">$H16/F16</f>
        <v>3.9370078740157485E-4</v>
      </c>
      <c r="H16" s="1">
        <v>0.02</v>
      </c>
      <c r="M16" s="2" t="s">
        <v>15</v>
      </c>
      <c r="N16" s="14">
        <f>ROUNDDOWN(PI(),5)</f>
        <v>3.1415899999999999</v>
      </c>
    </row>
    <row r="17" spans="1:16" x14ac:dyDescent="0.2">
      <c r="A17" s="27">
        <v>2</v>
      </c>
      <c r="B17" s="25">
        <v>12.9</v>
      </c>
      <c r="C17" s="9">
        <f t="shared" si="3"/>
        <v>1.5503875968992248E-3</v>
      </c>
      <c r="D17" s="25">
        <v>20.399999999999999</v>
      </c>
      <c r="E17" s="9">
        <f t="shared" si="4"/>
        <v>9.8039215686274508E-4</v>
      </c>
      <c r="F17" s="25">
        <v>50.9</v>
      </c>
      <c r="G17" s="9">
        <f t="shared" si="5"/>
        <v>3.9292730844793717E-4</v>
      </c>
      <c r="H17" s="1">
        <v>0.02</v>
      </c>
      <c r="N17" s="3"/>
    </row>
    <row r="18" spans="1:16" x14ac:dyDescent="0.2">
      <c r="A18" s="27">
        <v>3</v>
      </c>
      <c r="B18" s="25">
        <v>12.9</v>
      </c>
      <c r="C18" s="9">
        <f t="shared" si="3"/>
        <v>1.5503875968992248E-3</v>
      </c>
      <c r="D18" s="25">
        <v>20.16</v>
      </c>
      <c r="E18" s="9">
        <f t="shared" si="4"/>
        <v>9.9206349206349201E-4</v>
      </c>
      <c r="F18" s="25">
        <v>50.8</v>
      </c>
      <c r="G18" s="9">
        <f t="shared" si="5"/>
        <v>3.9370078740157485E-4</v>
      </c>
      <c r="H18" s="1">
        <v>0.02</v>
      </c>
      <c r="N18" s="3"/>
    </row>
    <row r="19" spans="1:16" x14ac:dyDescent="0.2">
      <c r="A19" s="27">
        <v>4</v>
      </c>
      <c r="B19" s="25">
        <v>12.8</v>
      </c>
      <c r="C19" s="9">
        <f t="shared" si="3"/>
        <v>1.5624999999999999E-3</v>
      </c>
      <c r="D19" s="25">
        <v>20.2</v>
      </c>
      <c r="E19" s="9">
        <f t="shared" si="4"/>
        <v>9.9009900990099011E-4</v>
      </c>
      <c r="F19" s="25">
        <v>50.8</v>
      </c>
      <c r="G19" s="9">
        <f t="shared" si="5"/>
        <v>3.9370078740157485E-4</v>
      </c>
      <c r="H19" s="1">
        <v>0.02</v>
      </c>
      <c r="N19" s="3"/>
    </row>
    <row r="20" spans="1:16" x14ac:dyDescent="0.2">
      <c r="A20" s="27">
        <v>5</v>
      </c>
      <c r="B20" s="25">
        <v>12.4</v>
      </c>
      <c r="C20" s="9">
        <f t="shared" si="3"/>
        <v>1.6129032258064516E-3</v>
      </c>
      <c r="D20" s="25">
        <v>20.2</v>
      </c>
      <c r="E20" s="9">
        <f t="shared" si="4"/>
        <v>9.9009900990099011E-4</v>
      </c>
      <c r="F20" s="25">
        <v>50.8</v>
      </c>
      <c r="G20" s="9">
        <f t="shared" si="5"/>
        <v>3.9370078740157485E-4</v>
      </c>
      <c r="H20" s="1">
        <v>0.02</v>
      </c>
      <c r="N20" s="3"/>
    </row>
    <row r="21" spans="1:16" x14ac:dyDescent="0.2">
      <c r="A21" s="27">
        <v>6</v>
      </c>
      <c r="B21" s="25">
        <v>12.52</v>
      </c>
      <c r="C21" s="9">
        <f t="shared" si="3"/>
        <v>1.5974440894568692E-3</v>
      </c>
      <c r="D21" s="25">
        <v>20.2</v>
      </c>
      <c r="E21" s="9">
        <f t="shared" si="4"/>
        <v>9.9009900990099011E-4</v>
      </c>
      <c r="F21" s="25">
        <v>50.72</v>
      </c>
      <c r="G21" s="9">
        <f t="shared" si="5"/>
        <v>3.9432176656151424E-4</v>
      </c>
      <c r="H21" s="1">
        <v>0.02</v>
      </c>
      <c r="N21" s="3"/>
    </row>
    <row r="22" spans="1:16" x14ac:dyDescent="0.2">
      <c r="A22" s="27">
        <v>7</v>
      </c>
      <c r="B22" s="25">
        <v>12.9</v>
      </c>
      <c r="C22" s="9">
        <f t="shared" si="3"/>
        <v>1.5503875968992248E-3</v>
      </c>
      <c r="D22" s="25">
        <v>20.2</v>
      </c>
      <c r="E22" s="9">
        <f t="shared" si="4"/>
        <v>9.9009900990099011E-4</v>
      </c>
      <c r="F22" s="25">
        <v>50.88</v>
      </c>
      <c r="G22" s="9">
        <f t="shared" si="5"/>
        <v>3.9308176100628928E-4</v>
      </c>
      <c r="H22" s="1">
        <v>0.02</v>
      </c>
      <c r="N22" s="3"/>
    </row>
    <row r="23" spans="1:16" ht="15.75" thickBot="1" x14ac:dyDescent="0.25">
      <c r="A23" s="27">
        <v>8</v>
      </c>
      <c r="B23" s="25">
        <v>13</v>
      </c>
      <c r="C23" s="9">
        <f t="shared" si="3"/>
        <v>1.5384615384615385E-3</v>
      </c>
      <c r="D23" s="25">
        <v>20.399999999999999</v>
      </c>
      <c r="E23" s="9">
        <f t="shared" si="4"/>
        <v>9.8039215686274508E-4</v>
      </c>
      <c r="F23" s="25">
        <v>51</v>
      </c>
      <c r="G23" s="9">
        <f t="shared" si="5"/>
        <v>3.9215686274509802E-4</v>
      </c>
      <c r="H23" s="1">
        <v>0.02</v>
      </c>
      <c r="N23" s="3"/>
    </row>
    <row r="24" spans="1:16" ht="15.75" thickBot="1" x14ac:dyDescent="0.25">
      <c r="A24" s="27">
        <v>9</v>
      </c>
      <c r="B24" s="25">
        <v>12.8</v>
      </c>
      <c r="C24" s="9">
        <f t="shared" si="3"/>
        <v>1.5624999999999999E-3</v>
      </c>
      <c r="D24" s="25">
        <v>20.2</v>
      </c>
      <c r="E24" s="9">
        <f t="shared" si="4"/>
        <v>9.9009900990099011E-4</v>
      </c>
      <c r="F24" s="25">
        <v>50.8</v>
      </c>
      <c r="G24" s="9">
        <f t="shared" si="5"/>
        <v>3.9370078740157485E-4</v>
      </c>
      <c r="H24" s="1">
        <v>0.02</v>
      </c>
      <c r="J24" s="2" t="s">
        <v>16</v>
      </c>
      <c r="N24" s="3"/>
    </row>
    <row r="25" spans="1:16" ht="15.75" thickBot="1" x14ac:dyDescent="0.25">
      <c r="A25" s="27">
        <v>10</v>
      </c>
      <c r="B25" s="25">
        <v>12.8</v>
      </c>
      <c r="C25" s="9">
        <f t="shared" si="3"/>
        <v>1.5624999999999999E-3</v>
      </c>
      <c r="D25" s="25">
        <v>20.2</v>
      </c>
      <c r="E25" s="9">
        <f t="shared" si="4"/>
        <v>9.9009900990099011E-4</v>
      </c>
      <c r="F25" s="25">
        <v>50.8</v>
      </c>
      <c r="G25" s="9">
        <f t="shared" si="5"/>
        <v>3.9370078740157485E-4</v>
      </c>
      <c r="H25" s="1">
        <v>0.02</v>
      </c>
      <c r="J25" s="2" t="s">
        <v>38</v>
      </c>
      <c r="K25" s="2" t="s">
        <v>39</v>
      </c>
      <c r="L25" s="28" t="s">
        <v>40</v>
      </c>
      <c r="N25" s="3"/>
    </row>
    <row r="26" spans="1:16" x14ac:dyDescent="0.2">
      <c r="A26" s="2" t="s">
        <v>17</v>
      </c>
      <c r="B26" s="2">
        <f>AVERAGE(B16:B25)</f>
        <v>12.802000000000001</v>
      </c>
      <c r="C26" s="2" t="s">
        <v>18</v>
      </c>
      <c r="D26" s="2">
        <f>AVERAGE(D16:D25)</f>
        <v>20.255999999999997</v>
      </c>
      <c r="E26" s="2" t="s">
        <v>19</v>
      </c>
      <c r="F26" s="2">
        <f>AVERAGE(F16:F25)</f>
        <v>50.830000000000005</v>
      </c>
      <c r="J26" s="2">
        <f>D26*D26*N16*F26/4/1000</f>
        <v>16.38011705256276</v>
      </c>
      <c r="K26" s="2">
        <f>B26*B26*N16*F26/4/1000</f>
        <v>6.5428244804511815</v>
      </c>
      <c r="L26" s="28">
        <f>J26-K26</f>
        <v>9.8372925721115791</v>
      </c>
    </row>
    <row r="27" spans="1:16" ht="15.75" thickBot="1" x14ac:dyDescent="0.25">
      <c r="A27" s="2" t="s">
        <v>0</v>
      </c>
      <c r="I27" s="2" t="s">
        <v>14</v>
      </c>
    </row>
    <row r="28" spans="1:16" ht="15.75" thickBot="1" x14ac:dyDescent="0.25">
      <c r="A28" s="26" t="s">
        <v>1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26</v>
      </c>
      <c r="I28" s="26" t="s">
        <v>1</v>
      </c>
      <c r="J28" s="5" t="s">
        <v>20</v>
      </c>
      <c r="K28" s="5" t="s">
        <v>27</v>
      </c>
      <c r="L28" s="5" t="s">
        <v>22</v>
      </c>
      <c r="M28" s="11" t="s">
        <v>28</v>
      </c>
      <c r="N28" s="5" t="s">
        <v>24</v>
      </c>
      <c r="O28" s="5" t="s">
        <v>25</v>
      </c>
      <c r="P28" s="5" t="s">
        <v>26</v>
      </c>
    </row>
    <row r="29" spans="1:16" ht="15.75" thickBot="1" x14ac:dyDescent="0.25">
      <c r="A29" s="27">
        <v>1</v>
      </c>
      <c r="B29" s="4">
        <f>(ROUNDDOWN(PI(),3)*POWER(B3/2,2)*$F3)/1000</f>
        <v>6.7680697499999996</v>
      </c>
      <c r="C29" s="8">
        <f>(2*C3+G3)</f>
        <v>0.17345399698340874</v>
      </c>
      <c r="D29" s="4">
        <f>ROUNDDOWN(PI(),3)*POWER(D3/2,2)*$F3/1000</f>
        <v>16.019100000000002</v>
      </c>
      <c r="E29" s="8">
        <f>(2*E3+G3)</f>
        <v>0.11960784313725491</v>
      </c>
      <c r="F29" s="4">
        <f>D29-B29</f>
        <v>9.251030250000003</v>
      </c>
      <c r="G29" s="8">
        <f>H29/F29</f>
        <v>0.33401239283592216</v>
      </c>
      <c r="H29" s="8">
        <f>B29*C29+D29*E29</f>
        <v>3.0899587500000001</v>
      </c>
      <c r="I29" s="27">
        <v>1</v>
      </c>
      <c r="J29" s="4">
        <f>ROUNDDOWN(PI(),3)*POWER(B16/2,2)*$F16/1000</f>
        <v>6.7415282999999988</v>
      </c>
      <c r="K29" s="10">
        <f>(C16*2+G16)</f>
        <v>3.4706238643246517E-3</v>
      </c>
      <c r="L29" s="4">
        <f>ROUNDDOWN(PI(),5)*POWER(D16/2,2)*$F16/1000</f>
        <v>16.604031998879996</v>
      </c>
      <c r="M29" s="10">
        <f>E16*2+G16</f>
        <v>2.354485101127065E-3</v>
      </c>
      <c r="N29" s="4">
        <f t="shared" ref="N29:N38" si="6">L29-J29</f>
        <v>9.8625036988799977</v>
      </c>
      <c r="O29" s="9">
        <f>P29/N29</f>
        <v>6.3362465422544378E-3</v>
      </c>
      <c r="P29" s="7">
        <f>J29*K29+L29*M29</f>
        <v>6.2491254959999992E-2</v>
      </c>
    </row>
    <row r="30" spans="1:16" ht="15.75" thickBot="1" x14ac:dyDescent="0.25">
      <c r="A30" s="27">
        <v>2</v>
      </c>
      <c r="B30" s="4">
        <f>(ROUNDDOWN(PI(),3)*POWER(B4/2,2)*$F4)/1000</f>
        <v>6.6353624999999994</v>
      </c>
      <c r="C30" s="8">
        <f>(2*C4+G4)</f>
        <v>0.17384615384615384</v>
      </c>
      <c r="D30" s="4">
        <f>ROUNDDOWN(PI(),3)*POWER(D4/2,2)*$F4/1000</f>
        <v>15.705000000000002</v>
      </c>
      <c r="E30" s="8">
        <f>(2*E4+G4)</f>
        <v>0.12000000000000001</v>
      </c>
      <c r="F30" s="4">
        <f t="shared" ref="F29:F38" si="7">D30-B30</f>
        <v>9.0696375000000025</v>
      </c>
      <c r="G30" s="8">
        <f t="shared" ref="G30:G38" si="8">H30/F30</f>
        <v>0.33497835497835493</v>
      </c>
      <c r="H30" s="8">
        <f t="shared" ref="H30:H38" si="9">B30*C30+D30*E30</f>
        <v>3.0381322500000003</v>
      </c>
      <c r="I30" s="27">
        <v>2</v>
      </c>
      <c r="J30" s="4">
        <f>ROUNDDOWN(PI(),3)*POWER(B17/2,2)*$F17/1000</f>
        <v>6.6512787322499998</v>
      </c>
      <c r="K30" s="10">
        <f>(C17*2+G17)</f>
        <v>3.4937025022463868E-3</v>
      </c>
      <c r="L30" s="4">
        <f>ROUNDDOWN(PI(),5)*POWER(D17/2,2)*$F17/1000</f>
        <v>16.636717101239995</v>
      </c>
      <c r="M30" s="10">
        <f>E17*2+G17</f>
        <v>2.3537116221734274E-3</v>
      </c>
      <c r="N30" s="4">
        <f t="shared" si="6"/>
        <v>9.9854383689899961</v>
      </c>
      <c r="O30" s="9">
        <f t="shared" ref="O30:O38" si="10">P30/N30</f>
        <v>6.2486614247974342E-3</v>
      </c>
      <c r="P30" s="7">
        <f t="shared" ref="P30:P38" si="11">J30*K30+L30*M30</f>
        <v>6.2395623545999992E-2</v>
      </c>
    </row>
    <row r="31" spans="1:16" ht="15.75" thickBot="1" x14ac:dyDescent="0.25">
      <c r="A31" s="27">
        <v>3</v>
      </c>
      <c r="B31" s="4">
        <f>(ROUNDDOWN(PI(),3)*POWER(B5/2,2)*$F5)/1000</f>
        <v>7.8493589999999998</v>
      </c>
      <c r="C31" s="8">
        <f>(2*C5+G5)</f>
        <v>0.16246498599439774</v>
      </c>
      <c r="D31" s="4">
        <f>ROUNDDOWN(PI(),3)*POWER(D5/2,2)*$F5/1000</f>
        <v>16.019100000000002</v>
      </c>
      <c r="E31" s="8">
        <f>(2*E5+G5)</f>
        <v>0.11960784313725491</v>
      </c>
      <c r="F31" s="4">
        <f t="shared" si="7"/>
        <v>8.1697410000000019</v>
      </c>
      <c r="G31" s="8">
        <f t="shared" si="8"/>
        <v>0.39061899269511718</v>
      </c>
      <c r="H31" s="8">
        <f t="shared" si="9"/>
        <v>3.1912560000000001</v>
      </c>
      <c r="I31" s="27">
        <v>3</v>
      </c>
      <c r="J31" s="4">
        <f>ROUNDDOWN(PI(),3)*POWER(B18/2,2)*$F18/1000</f>
        <v>6.6382113869999992</v>
      </c>
      <c r="K31" s="10">
        <f>(C18*2+G18)</f>
        <v>3.4944759812000244E-3</v>
      </c>
      <c r="L31" s="4">
        <f>ROUNDDOWN(PI(),5)*POWER(D18/2,2)*$F18/1000</f>
        <v>16.215647028940801</v>
      </c>
      <c r="M31" s="10">
        <f>E18*2+G18</f>
        <v>2.3778277715285588E-3</v>
      </c>
      <c r="N31" s="4">
        <f t="shared" si="6"/>
        <v>9.5774356419408022</v>
      </c>
      <c r="O31" s="9">
        <f t="shared" si="10"/>
        <v>6.4479771410090878E-3</v>
      </c>
      <c r="P31" s="7">
        <f t="shared" si="11"/>
        <v>6.175508608871999E-2</v>
      </c>
    </row>
    <row r="32" spans="1:16" ht="15.75" thickBot="1" x14ac:dyDescent="0.25">
      <c r="A32" s="27">
        <v>4</v>
      </c>
      <c r="B32" s="4">
        <f>(ROUNDDOWN(PI(),3)*POWER(B6/2,2)*$F6)/1000</f>
        <v>6.7680697499999996</v>
      </c>
      <c r="C32" s="8">
        <f>(2*C6+G6)</f>
        <v>0.17345399698340874</v>
      </c>
      <c r="D32" s="4">
        <f>ROUNDDOWN(PI(),3)*POWER(D6/2,2)*$F6/1000</f>
        <v>16.019100000000002</v>
      </c>
      <c r="E32" s="8">
        <f>(2*E6+G6)</f>
        <v>0.11960784313725491</v>
      </c>
      <c r="F32" s="4">
        <f t="shared" si="7"/>
        <v>9.251030250000003</v>
      </c>
      <c r="G32" s="8">
        <f t="shared" si="8"/>
        <v>0.33401239283592216</v>
      </c>
      <c r="H32" s="8">
        <f t="shared" si="9"/>
        <v>3.0899587500000001</v>
      </c>
      <c r="I32" s="27">
        <v>4</v>
      </c>
      <c r="J32" s="4">
        <f>ROUNDDOWN(PI(),3)*POWER(B19/2,2)*$F19/1000</f>
        <v>6.5356922880000008</v>
      </c>
      <c r="K32" s="10">
        <f>(C19*2+G19)</f>
        <v>3.5187007874015745E-3</v>
      </c>
      <c r="L32" s="4">
        <f>ROUNDDOWN(PI(),5)*POWER(D19/2,2)*$F19/1000</f>
        <v>16.280058671719996</v>
      </c>
      <c r="M32" s="10">
        <f>E19*2+G19</f>
        <v>2.373898807203555E-3</v>
      </c>
      <c r="N32" s="4">
        <f t="shared" si="6"/>
        <v>9.7443663837199956</v>
      </c>
      <c r="O32" s="9">
        <f t="shared" si="10"/>
        <v>6.3261534957254686E-3</v>
      </c>
      <c r="P32" s="7">
        <f t="shared" si="11"/>
        <v>6.1644357461999991E-2</v>
      </c>
    </row>
    <row r="33" spans="1:16" ht="15.75" thickBot="1" x14ac:dyDescent="0.25">
      <c r="A33" s="27">
        <v>5</v>
      </c>
      <c r="B33" s="4">
        <f>(ROUNDDOWN(PI(),3)*POWER(B7/2,2)*$F7)/1000</f>
        <v>6.7680697499999996</v>
      </c>
      <c r="C33" s="8">
        <f>(2*C7+G7)</f>
        <v>0.17345399698340874</v>
      </c>
      <c r="D33" s="4">
        <f>ROUNDDOWN(PI(),3)*POWER(D7/2,2)*$F7/1000</f>
        <v>16.019100000000002</v>
      </c>
      <c r="E33" s="8">
        <f>(2*E7+G7)</f>
        <v>0.11960784313725491</v>
      </c>
      <c r="F33" s="4">
        <f t="shared" si="7"/>
        <v>9.251030250000003</v>
      </c>
      <c r="G33" s="8">
        <f t="shared" si="8"/>
        <v>0.33401239283592216</v>
      </c>
      <c r="H33" s="8">
        <f t="shared" si="9"/>
        <v>3.0899587500000001</v>
      </c>
      <c r="I33" s="27">
        <v>5</v>
      </c>
      <c r="J33" s="4">
        <f>ROUNDDOWN(PI(),3)*POWER(B20/2,2)*$F20/1000</f>
        <v>6.1335940320000013</v>
      </c>
      <c r="K33" s="10">
        <f>(C20*2+G20)</f>
        <v>3.619507239014478E-3</v>
      </c>
      <c r="L33" s="4">
        <f>ROUNDDOWN(PI(),5)*POWER(D20/2,2)*$F20/1000</f>
        <v>16.280058671719996</v>
      </c>
      <c r="M33" s="10">
        <f>E20*2+G20</f>
        <v>2.373898807203555E-3</v>
      </c>
      <c r="N33" s="4">
        <f t="shared" si="6"/>
        <v>10.146464639719994</v>
      </c>
      <c r="O33" s="9">
        <f t="shared" si="10"/>
        <v>5.996945933640899E-3</v>
      </c>
      <c r="P33" s="7">
        <f t="shared" si="11"/>
        <v>6.0847799861999993E-2</v>
      </c>
    </row>
    <row r="34" spans="1:16" ht="15.75" thickBot="1" x14ac:dyDescent="0.25">
      <c r="A34" s="27">
        <v>6</v>
      </c>
      <c r="B34" s="4">
        <f>(ROUNDDOWN(PI(),3)*POWER(B8/2,2)*$F8)/1000</f>
        <v>6.7680697499999996</v>
      </c>
      <c r="C34" s="8">
        <f>(2*C8+G8)</f>
        <v>0.17345399698340874</v>
      </c>
      <c r="D34" s="4">
        <f>ROUNDDOWN(PI(),3)*POWER(D8/2,2)*$F8/1000</f>
        <v>16.019100000000002</v>
      </c>
      <c r="E34" s="8">
        <f>(2*E8+G8)</f>
        <v>0.11960784313725491</v>
      </c>
      <c r="F34" s="4">
        <f t="shared" si="7"/>
        <v>9.251030250000003</v>
      </c>
      <c r="G34" s="8">
        <f t="shared" si="8"/>
        <v>0.33401239283592216</v>
      </c>
      <c r="H34" s="8">
        <f t="shared" si="9"/>
        <v>3.0899587500000001</v>
      </c>
      <c r="I34" s="27">
        <v>6</v>
      </c>
      <c r="J34" s="4">
        <f>ROUNDDOWN(PI(),3)*POWER(B21/2,2)*$F21/1000</f>
        <v>6.2430361211519996</v>
      </c>
      <c r="K34" s="10">
        <f>(C21*2+G21)</f>
        <v>3.5892099454752527E-3</v>
      </c>
      <c r="L34" s="4">
        <f>ROUNDDOWN(PI(),5)*POWER(D21/2,2)*$F21/1000</f>
        <v>16.254420784047998</v>
      </c>
      <c r="M34" s="10">
        <f>E21*2+G21</f>
        <v>2.3745197863634946E-3</v>
      </c>
      <c r="N34" s="4">
        <f t="shared" si="6"/>
        <v>10.011384662895999</v>
      </c>
      <c r="O34" s="9">
        <f t="shared" si="10"/>
        <v>6.0934639071148558E-3</v>
      </c>
      <c r="P34" s="7">
        <f t="shared" si="11"/>
        <v>6.10040111036E-2</v>
      </c>
    </row>
    <row r="35" spans="1:16" ht="15.75" thickBot="1" x14ac:dyDescent="0.25">
      <c r="A35" s="27">
        <v>7</v>
      </c>
      <c r="B35" s="4">
        <f>(ROUNDDOWN(PI(),3)*POWER(B9/2,2)*$F9)/1000</f>
        <v>6.6353624999999994</v>
      </c>
      <c r="C35" s="8">
        <f>(2*C9+G9)</f>
        <v>0.17384615384615384</v>
      </c>
      <c r="D35" s="4">
        <f>ROUNDDOWN(PI(),3)*POWER(D9/2,2)*$F9/1000</f>
        <v>15.705000000000002</v>
      </c>
      <c r="E35" s="8">
        <f>(2*E9+G9)</f>
        <v>0.12000000000000001</v>
      </c>
      <c r="F35" s="4">
        <f t="shared" si="7"/>
        <v>9.0696375000000025</v>
      </c>
      <c r="G35" s="8">
        <f t="shared" si="8"/>
        <v>0.33497835497835493</v>
      </c>
      <c r="H35" s="8">
        <f t="shared" si="9"/>
        <v>3.0381322500000003</v>
      </c>
      <c r="I35" s="27">
        <v>7</v>
      </c>
      <c r="J35" s="4">
        <f>ROUNDDOWN(PI(),3)*POWER(B22/2,2)*$F22/1000</f>
        <v>6.6486652632000007</v>
      </c>
      <c r="K35" s="10">
        <f>(C22*2+G22)</f>
        <v>3.4938569548047388E-3</v>
      </c>
      <c r="L35" s="4">
        <f>ROUNDDOWN(PI(),5)*POWER(D22/2,2)*$F22/1000</f>
        <v>16.305696559392</v>
      </c>
      <c r="M35" s="10">
        <f>E22*2+G22</f>
        <v>2.3732797808082694E-3</v>
      </c>
      <c r="N35" s="4">
        <f t="shared" si="6"/>
        <v>9.6570312961919988</v>
      </c>
      <c r="O35" s="9">
        <f t="shared" si="10"/>
        <v>6.4126814366667218E-3</v>
      </c>
      <c r="P35" s="7">
        <f t="shared" si="11"/>
        <v>6.1927465326400005E-2</v>
      </c>
    </row>
    <row r="36" spans="1:16" ht="15.75" thickBot="1" x14ac:dyDescent="0.25">
      <c r="A36" s="27">
        <v>8</v>
      </c>
      <c r="B36" s="4">
        <f>(ROUNDDOWN(PI(),3)*POWER(B10/2,2)*$F10)/1000</f>
        <v>6.6353624999999994</v>
      </c>
      <c r="C36" s="8">
        <f>(2*C10+G10)</f>
        <v>0.17384615384615384</v>
      </c>
      <c r="D36" s="4">
        <f>ROUNDDOWN(PI(),3)*POWER(D10/2,2)*$F10/1000</f>
        <v>15.705000000000002</v>
      </c>
      <c r="E36" s="8">
        <f>(2*E10+G10)</f>
        <v>0.12000000000000001</v>
      </c>
      <c r="F36" s="4">
        <f t="shared" si="7"/>
        <v>9.0696375000000025</v>
      </c>
      <c r="G36" s="8">
        <f t="shared" si="8"/>
        <v>0.33497835497835493</v>
      </c>
      <c r="H36" s="8">
        <f t="shared" si="9"/>
        <v>3.0381322500000003</v>
      </c>
      <c r="I36" s="27">
        <v>8</v>
      </c>
      <c r="J36" s="4">
        <f>ROUNDDOWN(PI(),3)*POWER(B23/2,2)*$F23/1000</f>
        <v>6.7680697499999996</v>
      </c>
      <c r="K36" s="10">
        <f>(C23*2+G23)</f>
        <v>3.4690799396681748E-3</v>
      </c>
      <c r="L36" s="4">
        <f>ROUNDDOWN(PI(),5)*POWER(D23/2,2)*$F23/1000</f>
        <v>16.669402203599997</v>
      </c>
      <c r="M36" s="10">
        <f>E23*2+G23</f>
        <v>2.352941176470588E-3</v>
      </c>
      <c r="N36" s="4">
        <f t="shared" si="6"/>
        <v>9.9013324535999985</v>
      </c>
      <c r="O36" s="9">
        <f t="shared" si="10"/>
        <v>6.3325919138491971E-3</v>
      </c>
      <c r="P36" s="7">
        <f t="shared" si="11"/>
        <v>6.270109783199998E-2</v>
      </c>
    </row>
    <row r="37" spans="1:16" ht="15.75" thickBot="1" x14ac:dyDescent="0.25">
      <c r="A37" s="27">
        <v>9</v>
      </c>
      <c r="B37" s="4">
        <f>(ROUNDDOWN(PI(),3)*POWER(B11/2,2)*$F11)/1000</f>
        <v>7.8493589999999998</v>
      </c>
      <c r="C37" s="8">
        <f>(2*C11+G11)</f>
        <v>0.16246498599439774</v>
      </c>
      <c r="D37" s="4">
        <f>ROUNDDOWN(PI(),3)*POWER(D11/2,2)*$F11/1000</f>
        <v>16.019100000000002</v>
      </c>
      <c r="E37" s="8">
        <f>(2*E11+G11)</f>
        <v>0.11960784313725491</v>
      </c>
      <c r="F37" s="4">
        <f t="shared" si="7"/>
        <v>8.1697410000000019</v>
      </c>
      <c r="G37" s="8">
        <f t="shared" si="8"/>
        <v>0.39061899269511718</v>
      </c>
      <c r="H37" s="8">
        <f t="shared" si="9"/>
        <v>3.1912560000000001</v>
      </c>
      <c r="I37" s="27">
        <v>9</v>
      </c>
      <c r="J37" s="4">
        <f>ROUNDDOWN(PI(),3)*POWER(B24/2,2)*$F24/1000</f>
        <v>6.5356922880000008</v>
      </c>
      <c r="K37" s="10">
        <f>(C24*2+G24)</f>
        <v>3.5187007874015745E-3</v>
      </c>
      <c r="L37" s="4">
        <f>ROUNDDOWN(PI(),5)*POWER(D24/2,2)*$F24/1000</f>
        <v>16.280058671719996</v>
      </c>
      <c r="M37" s="10">
        <f>E24*2+G24</f>
        <v>2.373898807203555E-3</v>
      </c>
      <c r="N37" s="4">
        <f t="shared" si="6"/>
        <v>9.7443663837199956</v>
      </c>
      <c r="O37" s="9">
        <f t="shared" si="10"/>
        <v>6.3261534957254686E-3</v>
      </c>
      <c r="P37" s="7">
        <f t="shared" si="11"/>
        <v>6.1644357461999991E-2</v>
      </c>
    </row>
    <row r="38" spans="1:16" ht="15.75" thickBot="1" x14ac:dyDescent="0.25">
      <c r="A38" s="27">
        <v>10</v>
      </c>
      <c r="B38" s="4">
        <f>(ROUNDDOWN(PI(),3)*POWER(B12/2,2)*$F12)/1000</f>
        <v>7.6954500000000001</v>
      </c>
      <c r="C38" s="8">
        <f>(2*C12+G12)</f>
        <v>0.16285714285714284</v>
      </c>
      <c r="D38" s="4">
        <f>ROUNDDOWN(PI(),3)*POWER(D12/2,2)*$F12/1000</f>
        <v>15.705000000000002</v>
      </c>
      <c r="E38" s="8">
        <f>(2*E12+G12)</f>
        <v>0.12000000000000001</v>
      </c>
      <c r="F38" s="4">
        <f t="shared" si="7"/>
        <v>8.0095500000000008</v>
      </c>
      <c r="G38" s="8">
        <f t="shared" si="8"/>
        <v>0.3917647058823529</v>
      </c>
      <c r="H38" s="8">
        <f t="shared" si="9"/>
        <v>3.1378590000000002</v>
      </c>
      <c r="I38" s="27">
        <v>10</v>
      </c>
      <c r="J38" s="4">
        <f>ROUNDDOWN(PI(),3)*POWER(B25/2,2)*$F25/1000</f>
        <v>6.5356922880000008</v>
      </c>
      <c r="K38" s="10">
        <f>(C25*2+G25)</f>
        <v>3.5187007874015745E-3</v>
      </c>
      <c r="L38" s="4">
        <f>ROUNDDOWN(PI(),5)*POWER(D25/2,2)*$F25/1000</f>
        <v>16.280058671719996</v>
      </c>
      <c r="M38" s="10">
        <f>E25*2+G25</f>
        <v>2.373898807203555E-3</v>
      </c>
      <c r="N38" s="4">
        <f t="shared" si="6"/>
        <v>9.7443663837199956</v>
      </c>
      <c r="O38" s="9">
        <f t="shared" si="10"/>
        <v>6.3261534957254686E-3</v>
      </c>
      <c r="P38" s="7">
        <f t="shared" si="11"/>
        <v>6.1644357461999991E-2</v>
      </c>
    </row>
    <row r="40" spans="1:16" x14ac:dyDescent="0.2">
      <c r="E40" s="13"/>
    </row>
    <row r="42" spans="1:16" x14ac:dyDescent="0.2">
      <c r="A42" s="2" t="s">
        <v>29</v>
      </c>
      <c r="H42" s="2" t="s">
        <v>29</v>
      </c>
    </row>
    <row r="43" spans="1:16" ht="17.25" customHeight="1" x14ac:dyDescent="0.2">
      <c r="A43" s="26" t="s">
        <v>1</v>
      </c>
      <c r="B43" s="15" t="s">
        <v>30</v>
      </c>
      <c r="C43" s="16" t="s">
        <v>31</v>
      </c>
      <c r="D43" s="15" t="s">
        <v>32</v>
      </c>
      <c r="E43" s="16" t="s">
        <v>33</v>
      </c>
      <c r="F43" s="15" t="s">
        <v>26</v>
      </c>
      <c r="H43" s="20" t="s">
        <v>34</v>
      </c>
      <c r="I43" s="15" t="s">
        <v>35</v>
      </c>
      <c r="J43" s="15" t="s">
        <v>26</v>
      </c>
    </row>
    <row r="44" spans="1:16" x14ac:dyDescent="0.2">
      <c r="A44" s="27">
        <v>1</v>
      </c>
      <c r="B44" s="15">
        <v>69</v>
      </c>
      <c r="C44" s="16">
        <f>F44/B44</f>
        <v>1.4492753623188406E-2</v>
      </c>
      <c r="D44" s="15">
        <v>79</v>
      </c>
      <c r="E44" s="16">
        <f>F44/D44</f>
        <v>1.2658227848101266E-2</v>
      </c>
      <c r="F44" s="18">
        <v>1</v>
      </c>
      <c r="H44" s="15">
        <f>D44-B44</f>
        <v>10</v>
      </c>
      <c r="I44" s="15">
        <f>J44/H44</f>
        <v>0.2</v>
      </c>
      <c r="J44" s="18">
        <v>2</v>
      </c>
    </row>
    <row r="45" spans="1:16" x14ac:dyDescent="0.2">
      <c r="A45" s="27">
        <v>2</v>
      </c>
      <c r="B45" s="15">
        <v>60</v>
      </c>
      <c r="C45" s="16">
        <f t="shared" ref="C45:C53" si="12">F45/B45</f>
        <v>1.6666666666666666E-2</v>
      </c>
      <c r="D45" s="15">
        <v>70</v>
      </c>
      <c r="E45" s="16">
        <f t="shared" ref="E45:E53" si="13">F45/D45</f>
        <v>1.4285714285714285E-2</v>
      </c>
      <c r="F45" s="18">
        <v>1</v>
      </c>
      <c r="H45" s="15">
        <f t="shared" ref="H45:H53" si="14">D45-B45</f>
        <v>10</v>
      </c>
      <c r="I45" s="15">
        <f t="shared" ref="I45:I53" si="15">J45/H45</f>
        <v>0.2</v>
      </c>
      <c r="J45" s="18">
        <v>2</v>
      </c>
    </row>
    <row r="46" spans="1:16" x14ac:dyDescent="0.2">
      <c r="A46" s="27">
        <v>3</v>
      </c>
      <c r="B46" s="15">
        <v>60</v>
      </c>
      <c r="C46" s="16">
        <f t="shared" si="12"/>
        <v>1.6666666666666666E-2</v>
      </c>
      <c r="D46" s="15">
        <v>70</v>
      </c>
      <c r="E46" s="16">
        <f t="shared" si="13"/>
        <v>1.4285714285714285E-2</v>
      </c>
      <c r="F46" s="18">
        <v>1</v>
      </c>
      <c r="H46" s="15">
        <f t="shared" si="14"/>
        <v>10</v>
      </c>
      <c r="I46" s="15">
        <f t="shared" si="15"/>
        <v>0.2</v>
      </c>
      <c r="J46" s="18">
        <v>2</v>
      </c>
    </row>
    <row r="47" spans="1:16" x14ac:dyDescent="0.2">
      <c r="A47" s="27">
        <v>4</v>
      </c>
      <c r="B47" s="15">
        <v>68</v>
      </c>
      <c r="C47" s="16">
        <f t="shared" si="12"/>
        <v>1.4705882352941176E-2</v>
      </c>
      <c r="D47" s="15">
        <v>73</v>
      </c>
      <c r="E47" s="16">
        <f t="shared" si="13"/>
        <v>1.3698630136986301E-2</v>
      </c>
      <c r="F47" s="18">
        <v>1</v>
      </c>
      <c r="H47" s="21">
        <f t="shared" si="14"/>
        <v>5</v>
      </c>
      <c r="I47" s="15">
        <f t="shared" si="15"/>
        <v>0.4</v>
      </c>
      <c r="J47" s="18">
        <v>2</v>
      </c>
    </row>
    <row r="48" spans="1:16" x14ac:dyDescent="0.2">
      <c r="A48" s="27">
        <v>5</v>
      </c>
      <c r="B48" s="15">
        <v>65</v>
      </c>
      <c r="C48" s="16">
        <f t="shared" si="12"/>
        <v>1.5384615384615385E-2</v>
      </c>
      <c r="D48" s="15">
        <v>75</v>
      </c>
      <c r="E48" s="16">
        <f t="shared" si="13"/>
        <v>1.3333333333333334E-2</v>
      </c>
      <c r="F48" s="18">
        <v>1</v>
      </c>
      <c r="H48" s="15">
        <f t="shared" si="14"/>
        <v>10</v>
      </c>
      <c r="I48" s="15">
        <f t="shared" si="15"/>
        <v>0.2</v>
      </c>
      <c r="J48" s="18">
        <v>2</v>
      </c>
    </row>
    <row r="49" spans="1:10" x14ac:dyDescent="0.2">
      <c r="A49" s="27">
        <v>6</v>
      </c>
      <c r="B49" s="15">
        <v>70</v>
      </c>
      <c r="C49" s="16">
        <f t="shared" si="12"/>
        <v>1.4285714285714285E-2</v>
      </c>
      <c r="D49" s="15">
        <v>80</v>
      </c>
      <c r="E49" s="16">
        <f t="shared" si="13"/>
        <v>1.2500000000000001E-2</v>
      </c>
      <c r="F49" s="18">
        <v>1</v>
      </c>
      <c r="H49" s="15">
        <f t="shared" si="14"/>
        <v>10</v>
      </c>
      <c r="I49" s="15">
        <f t="shared" si="15"/>
        <v>0.2</v>
      </c>
      <c r="J49" s="18">
        <v>2</v>
      </c>
    </row>
    <row r="50" spans="1:10" x14ac:dyDescent="0.2">
      <c r="A50" s="27">
        <v>7</v>
      </c>
      <c r="B50" s="15">
        <v>70</v>
      </c>
      <c r="C50" s="16">
        <f t="shared" si="12"/>
        <v>1.4285714285714285E-2</v>
      </c>
      <c r="D50" s="15">
        <v>80</v>
      </c>
      <c r="E50" s="16">
        <f t="shared" si="13"/>
        <v>1.2500000000000001E-2</v>
      </c>
      <c r="F50" s="18">
        <v>1</v>
      </c>
      <c r="H50" s="15">
        <f t="shared" si="14"/>
        <v>10</v>
      </c>
      <c r="I50" s="15">
        <f t="shared" si="15"/>
        <v>0.2</v>
      </c>
      <c r="J50" s="18">
        <v>2</v>
      </c>
    </row>
    <row r="51" spans="1:10" x14ac:dyDescent="0.2">
      <c r="A51" s="27">
        <v>8</v>
      </c>
      <c r="B51" s="15">
        <v>70</v>
      </c>
      <c r="C51" s="16">
        <f t="shared" si="12"/>
        <v>1.4285714285714285E-2</v>
      </c>
      <c r="D51" s="15">
        <v>79</v>
      </c>
      <c r="E51" s="16">
        <f t="shared" si="13"/>
        <v>1.2658227848101266E-2</v>
      </c>
      <c r="F51" s="18">
        <v>1</v>
      </c>
      <c r="H51" s="15">
        <f t="shared" si="14"/>
        <v>9</v>
      </c>
      <c r="I51" s="15">
        <f t="shared" si="15"/>
        <v>0.22222222222222221</v>
      </c>
      <c r="J51" s="18">
        <v>2</v>
      </c>
    </row>
    <row r="52" spans="1:10" x14ac:dyDescent="0.2">
      <c r="A52" s="27">
        <v>9</v>
      </c>
      <c r="B52" s="15">
        <v>70</v>
      </c>
      <c r="C52" s="16">
        <f t="shared" si="12"/>
        <v>1.4285714285714285E-2</v>
      </c>
      <c r="D52" s="15">
        <v>79</v>
      </c>
      <c r="E52" s="16">
        <f t="shared" si="13"/>
        <v>1.2658227848101266E-2</v>
      </c>
      <c r="F52" s="18">
        <v>1</v>
      </c>
      <c r="H52" s="15">
        <f t="shared" si="14"/>
        <v>9</v>
      </c>
      <c r="I52" s="15">
        <f t="shared" si="15"/>
        <v>0.22222222222222221</v>
      </c>
      <c r="J52" s="18">
        <v>2</v>
      </c>
    </row>
    <row r="53" spans="1:10" x14ac:dyDescent="0.2">
      <c r="A53" s="27">
        <v>10</v>
      </c>
      <c r="B53" s="15">
        <v>64</v>
      </c>
      <c r="C53" s="16">
        <f t="shared" si="12"/>
        <v>1.5625E-2</v>
      </c>
      <c r="D53" s="15">
        <v>74</v>
      </c>
      <c r="E53" s="16">
        <f t="shared" si="13"/>
        <v>1.3513513513513514E-2</v>
      </c>
      <c r="F53" s="18">
        <v>1</v>
      </c>
      <c r="H53" s="15">
        <f t="shared" si="14"/>
        <v>10</v>
      </c>
      <c r="I53" s="15">
        <f t="shared" si="15"/>
        <v>0.2</v>
      </c>
      <c r="J53" s="18">
        <v>2</v>
      </c>
    </row>
    <row r="54" spans="1:10" x14ac:dyDescent="0.2">
      <c r="C54" s="17"/>
      <c r="E54" s="17"/>
    </row>
    <row r="55" spans="1:10" x14ac:dyDescent="0.2">
      <c r="H55" s="19" t="s">
        <v>36</v>
      </c>
    </row>
    <row r="56" spans="1:10" ht="30" x14ac:dyDescent="0.2">
      <c r="H56" s="19" t="s">
        <v>37</v>
      </c>
    </row>
  </sheetData>
  <printOptions horizontalCentered="1" verticalCentere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tabSelected="1" zoomScaleNormal="100" workbookViewId="0">
      <selection activeCell="L28" sqref="L28"/>
    </sheetView>
  </sheetViews>
  <sheetFormatPr baseColWidth="10" defaultColWidth="9.140625" defaultRowHeight="15" x14ac:dyDescent="0.25"/>
  <cols>
    <col min="2" max="2" width="11" bestFit="1" customWidth="1"/>
    <col min="3" max="3" width="9.5703125" bestFit="1" customWidth="1"/>
    <col min="4" max="4" width="10.5703125" bestFit="1" customWidth="1"/>
    <col min="5" max="5" width="10.42578125" customWidth="1"/>
    <col min="7" max="7" width="14.140625" bestFit="1" customWidth="1"/>
  </cols>
  <sheetData>
    <row r="1" spans="2:7" ht="15.75" thickBot="1" x14ac:dyDescent="0.3"/>
    <row r="2" spans="2:7" ht="16.5" thickBot="1" x14ac:dyDescent="0.3">
      <c r="B2" s="26" t="s">
        <v>1</v>
      </c>
      <c r="C2" s="5" t="s">
        <v>24</v>
      </c>
      <c r="D2" s="5" t="str">
        <f>Hoja1!H28</f>
        <v>∆V (cm3)</v>
      </c>
      <c r="E2" s="29"/>
      <c r="G2" t="s">
        <v>41</v>
      </c>
    </row>
    <row r="3" spans="2:7" ht="16.5" thickBot="1" x14ac:dyDescent="0.3">
      <c r="B3" s="27">
        <v>1</v>
      </c>
      <c r="C3" s="4">
        <f>Hoja1!F29</f>
        <v>9.251030250000003</v>
      </c>
      <c r="D3" s="4">
        <f>Hoja1!H29</f>
        <v>3.0899587500000001</v>
      </c>
      <c r="E3" s="30">
        <f>C3-D3</f>
        <v>6.1610715000000029</v>
      </c>
      <c r="F3" s="30">
        <f>C3+D3</f>
        <v>12.340989000000004</v>
      </c>
      <c r="G3" s="28">
        <f>Hoja1!$L$13</f>
        <v>9.251030250000003</v>
      </c>
    </row>
    <row r="4" spans="2:7" ht="16.5" thickBot="1" x14ac:dyDescent="0.3">
      <c r="B4" s="27">
        <v>2</v>
      </c>
      <c r="C4" s="4">
        <f>Hoja1!F30</f>
        <v>9.0696375000000025</v>
      </c>
      <c r="D4" s="4">
        <f>Hoja1!H30</f>
        <v>3.0381322500000003</v>
      </c>
      <c r="E4" s="30">
        <f t="shared" ref="E4:E15" si="0">C4-D4</f>
        <v>6.0315052500000021</v>
      </c>
      <c r="F4" s="30">
        <f t="shared" ref="F4:F15" si="1">C4+D4</f>
        <v>12.107769750000003</v>
      </c>
      <c r="G4" s="28">
        <f>Hoja1!$L$13</f>
        <v>9.251030250000003</v>
      </c>
    </row>
    <row r="5" spans="2:7" ht="16.5" thickBot="1" x14ac:dyDescent="0.3">
      <c r="B5" s="27">
        <v>3</v>
      </c>
      <c r="C5" s="4">
        <f>Hoja1!F31</f>
        <v>8.1697410000000019</v>
      </c>
      <c r="D5" s="4">
        <f>Hoja1!H31</f>
        <v>3.1912560000000001</v>
      </c>
      <c r="E5" s="30">
        <f t="shared" si="0"/>
        <v>4.9784850000000018</v>
      </c>
      <c r="F5" s="30">
        <f t="shared" si="1"/>
        <v>11.360997000000001</v>
      </c>
      <c r="G5" s="28">
        <f>Hoja1!$L$13</f>
        <v>9.251030250000003</v>
      </c>
    </row>
    <row r="6" spans="2:7" ht="16.5" thickBot="1" x14ac:dyDescent="0.3">
      <c r="B6" s="27">
        <v>4</v>
      </c>
      <c r="C6" s="4">
        <f>Hoja1!F32</f>
        <v>9.251030250000003</v>
      </c>
      <c r="D6" s="4">
        <f>Hoja1!H32</f>
        <v>3.0899587500000001</v>
      </c>
      <c r="E6" s="30">
        <f t="shared" si="0"/>
        <v>6.1610715000000029</v>
      </c>
      <c r="F6" s="30">
        <f t="shared" si="1"/>
        <v>12.340989000000004</v>
      </c>
      <c r="G6" s="28">
        <f>Hoja1!$L$13</f>
        <v>9.251030250000003</v>
      </c>
    </row>
    <row r="7" spans="2:7" ht="16.5" thickBot="1" x14ac:dyDescent="0.3">
      <c r="B7" s="27">
        <v>5</v>
      </c>
      <c r="C7" s="4">
        <f>Hoja1!F33</f>
        <v>9.251030250000003</v>
      </c>
      <c r="D7" s="4">
        <f>Hoja1!H33</f>
        <v>3.0899587500000001</v>
      </c>
      <c r="E7" s="30">
        <f t="shared" si="0"/>
        <v>6.1610715000000029</v>
      </c>
      <c r="F7" s="30">
        <f t="shared" si="1"/>
        <v>12.340989000000004</v>
      </c>
      <c r="G7" s="28">
        <f>Hoja1!$L$13</f>
        <v>9.251030250000003</v>
      </c>
    </row>
    <row r="8" spans="2:7" ht="16.5" thickBot="1" x14ac:dyDescent="0.3">
      <c r="B8" s="27">
        <v>6</v>
      </c>
      <c r="C8" s="4">
        <f>Hoja1!F34</f>
        <v>9.251030250000003</v>
      </c>
      <c r="D8" s="4">
        <f>Hoja1!H34</f>
        <v>3.0899587500000001</v>
      </c>
      <c r="E8" s="30">
        <f t="shared" si="0"/>
        <v>6.1610715000000029</v>
      </c>
      <c r="F8" s="30">
        <f t="shared" si="1"/>
        <v>12.340989000000004</v>
      </c>
      <c r="G8" s="28">
        <f>Hoja1!$L$13</f>
        <v>9.251030250000003</v>
      </c>
    </row>
    <row r="9" spans="2:7" ht="16.5" thickBot="1" x14ac:dyDescent="0.3">
      <c r="B9" s="27">
        <v>7</v>
      </c>
      <c r="C9" s="4">
        <f>Hoja1!F35</f>
        <v>9.0696375000000025</v>
      </c>
      <c r="D9" s="4">
        <f>Hoja1!H35</f>
        <v>3.0381322500000003</v>
      </c>
      <c r="E9" s="30">
        <f t="shared" si="0"/>
        <v>6.0315052500000021</v>
      </c>
      <c r="F9" s="30">
        <f t="shared" si="1"/>
        <v>12.107769750000003</v>
      </c>
      <c r="G9" s="28">
        <f>Hoja1!$L$13</f>
        <v>9.251030250000003</v>
      </c>
    </row>
    <row r="10" spans="2:7" ht="16.5" thickBot="1" x14ac:dyDescent="0.3">
      <c r="B10" s="27">
        <v>8</v>
      </c>
      <c r="C10" s="4">
        <f>Hoja1!F36</f>
        <v>9.0696375000000025</v>
      </c>
      <c r="D10" s="4">
        <f>Hoja1!H36</f>
        <v>3.0381322500000003</v>
      </c>
      <c r="E10" s="30">
        <f t="shared" si="0"/>
        <v>6.0315052500000021</v>
      </c>
      <c r="F10" s="30">
        <f t="shared" si="1"/>
        <v>12.107769750000003</v>
      </c>
      <c r="G10" s="28">
        <f>Hoja1!$L$13</f>
        <v>9.251030250000003</v>
      </c>
    </row>
    <row r="11" spans="2:7" ht="16.5" thickBot="1" x14ac:dyDescent="0.3">
      <c r="B11" s="27">
        <v>9</v>
      </c>
      <c r="C11" s="4">
        <f>Hoja1!F37</f>
        <v>8.1697410000000019</v>
      </c>
      <c r="D11" s="4">
        <f>Hoja1!H37</f>
        <v>3.1912560000000001</v>
      </c>
      <c r="E11" s="30">
        <f t="shared" si="0"/>
        <v>4.9784850000000018</v>
      </c>
      <c r="F11" s="30">
        <f t="shared" si="1"/>
        <v>11.360997000000001</v>
      </c>
      <c r="G11" s="28">
        <f>Hoja1!$L$13</f>
        <v>9.251030250000003</v>
      </c>
    </row>
    <row r="12" spans="2:7" ht="16.5" thickBot="1" x14ac:dyDescent="0.3">
      <c r="B12" s="27">
        <v>10</v>
      </c>
      <c r="C12" s="4">
        <f>Hoja1!F38</f>
        <v>8.0095500000000008</v>
      </c>
      <c r="D12" s="4">
        <f>Hoja1!H38</f>
        <v>3.1378590000000002</v>
      </c>
      <c r="E12" s="30">
        <f t="shared" si="0"/>
        <v>4.8716910000000002</v>
      </c>
      <c r="F12" s="30">
        <f t="shared" si="1"/>
        <v>11.147409000000001</v>
      </c>
      <c r="G12" s="28">
        <f>Hoja1!$L$13</f>
        <v>9.251030250000003</v>
      </c>
    </row>
    <row r="13" spans="2:7" ht="16.5" thickBot="1" x14ac:dyDescent="0.3">
      <c r="E13" s="30"/>
      <c r="F13" s="30"/>
    </row>
    <row r="14" spans="2:7" ht="16.5" thickBot="1" x14ac:dyDescent="0.3">
      <c r="B14" s="26" t="s">
        <v>1</v>
      </c>
      <c r="C14" s="5" t="s">
        <v>24</v>
      </c>
      <c r="D14" s="5" t="s">
        <v>26</v>
      </c>
      <c r="E14" s="30"/>
      <c r="F14" s="30"/>
    </row>
    <row r="15" spans="2:7" ht="16.5" thickBot="1" x14ac:dyDescent="0.3">
      <c r="B15" s="27">
        <v>1</v>
      </c>
      <c r="C15" s="8">
        <f>Hoja1!N29</f>
        <v>9.8625036988799977</v>
      </c>
      <c r="D15" s="8">
        <f>Hoja1!P29</f>
        <v>6.2491254959999992E-2</v>
      </c>
      <c r="E15" s="30">
        <f t="shared" si="0"/>
        <v>9.8000124439199983</v>
      </c>
      <c r="F15" s="30">
        <f t="shared" si="1"/>
        <v>9.9249949538399971</v>
      </c>
      <c r="G15" s="28">
        <v>9.8372925721115791</v>
      </c>
    </row>
    <row r="16" spans="2:7" ht="16.5" thickBot="1" x14ac:dyDescent="0.3">
      <c r="B16" s="27">
        <v>2</v>
      </c>
      <c r="C16" s="8">
        <f>Hoja1!N30</f>
        <v>9.9854383689899961</v>
      </c>
      <c r="D16" s="8">
        <f>Hoja1!P30</f>
        <v>6.2395623545999992E-2</v>
      </c>
      <c r="E16" s="30">
        <f t="shared" ref="E16:E24" si="2">C16-D16</f>
        <v>9.9230427454439969</v>
      </c>
      <c r="F16" s="30">
        <f t="shared" ref="F16:F24" si="3">C16+D16</f>
        <v>10.047833992535995</v>
      </c>
      <c r="G16" s="28">
        <v>9.8372925721115791</v>
      </c>
    </row>
    <row r="17" spans="2:7" ht="16.5" thickBot="1" x14ac:dyDescent="0.3">
      <c r="B17" s="27">
        <v>3</v>
      </c>
      <c r="C17" s="8">
        <f>Hoja1!N31</f>
        <v>9.5774356419408022</v>
      </c>
      <c r="D17" s="8">
        <f>Hoja1!P31</f>
        <v>6.175508608871999E-2</v>
      </c>
      <c r="E17" s="30">
        <f t="shared" si="2"/>
        <v>9.5156805558520823</v>
      </c>
      <c r="F17" s="30">
        <f t="shared" si="3"/>
        <v>9.6391907280295221</v>
      </c>
      <c r="G17" s="28">
        <v>9.8372925721115791</v>
      </c>
    </row>
    <row r="18" spans="2:7" ht="16.5" thickBot="1" x14ac:dyDescent="0.3">
      <c r="B18" s="27">
        <v>4</v>
      </c>
      <c r="C18" s="8">
        <f>Hoja1!N32</f>
        <v>9.7443663837199956</v>
      </c>
      <c r="D18" s="8">
        <f>Hoja1!P32</f>
        <v>6.1644357461999991E-2</v>
      </c>
      <c r="E18" s="30">
        <f t="shared" si="2"/>
        <v>9.6827220262579949</v>
      </c>
      <c r="F18" s="30">
        <f t="shared" si="3"/>
        <v>9.8060107411819963</v>
      </c>
      <c r="G18" s="28">
        <v>9.8372925721115791</v>
      </c>
    </row>
    <row r="19" spans="2:7" ht="16.5" thickBot="1" x14ac:dyDescent="0.3">
      <c r="B19" s="27">
        <v>5</v>
      </c>
      <c r="C19" s="8">
        <f>Hoja1!N33</f>
        <v>10.146464639719994</v>
      </c>
      <c r="D19" s="8">
        <f>Hoja1!P33</f>
        <v>6.0847799861999993E-2</v>
      </c>
      <c r="E19" s="30">
        <f t="shared" si="2"/>
        <v>10.085616839857995</v>
      </c>
      <c r="F19" s="30">
        <f t="shared" si="3"/>
        <v>10.207312439581994</v>
      </c>
      <c r="G19" s="28">
        <v>9.8372925721115791</v>
      </c>
    </row>
    <row r="20" spans="2:7" ht="16.5" thickBot="1" x14ac:dyDescent="0.3">
      <c r="B20" s="27">
        <v>6</v>
      </c>
      <c r="C20" s="8">
        <f>Hoja1!N34</f>
        <v>10.011384662895999</v>
      </c>
      <c r="D20" s="8">
        <f>Hoja1!P34</f>
        <v>6.10040111036E-2</v>
      </c>
      <c r="E20" s="30">
        <f t="shared" si="2"/>
        <v>9.9503806517923987</v>
      </c>
      <c r="F20" s="30">
        <f t="shared" si="3"/>
        <v>10.072388673999599</v>
      </c>
      <c r="G20" s="28">
        <v>9.8372925721115791</v>
      </c>
    </row>
    <row r="21" spans="2:7" ht="16.5" thickBot="1" x14ac:dyDescent="0.3">
      <c r="B21" s="27">
        <v>7</v>
      </c>
      <c r="C21" s="8">
        <f>Hoja1!N35</f>
        <v>9.6570312961919988</v>
      </c>
      <c r="D21" s="8">
        <f>Hoja1!P35</f>
        <v>6.1927465326400005E-2</v>
      </c>
      <c r="E21" s="30">
        <f t="shared" si="2"/>
        <v>9.5951038308655985</v>
      </c>
      <c r="F21" s="30">
        <f t="shared" si="3"/>
        <v>9.7189587615183992</v>
      </c>
      <c r="G21" s="28">
        <v>9.8372925721115791</v>
      </c>
    </row>
    <row r="22" spans="2:7" ht="16.5" thickBot="1" x14ac:dyDescent="0.3">
      <c r="B22" s="27">
        <v>8</v>
      </c>
      <c r="C22" s="8">
        <f>Hoja1!N36</f>
        <v>9.9013324535999985</v>
      </c>
      <c r="D22" s="8">
        <f>Hoja1!P36</f>
        <v>6.270109783199998E-2</v>
      </c>
      <c r="E22" s="30">
        <f t="shared" si="2"/>
        <v>9.8386313557679976</v>
      </c>
      <c r="F22" s="30">
        <f t="shared" si="3"/>
        <v>9.9640335514319993</v>
      </c>
      <c r="G22" s="28">
        <v>9.8372925721115791</v>
      </c>
    </row>
    <row r="23" spans="2:7" ht="16.5" thickBot="1" x14ac:dyDescent="0.3">
      <c r="B23" s="27">
        <v>9</v>
      </c>
      <c r="C23" s="8">
        <f>Hoja1!N37</f>
        <v>9.7443663837199956</v>
      </c>
      <c r="D23" s="8">
        <f>Hoja1!P37</f>
        <v>6.1644357461999991E-2</v>
      </c>
      <c r="E23" s="30">
        <f t="shared" si="2"/>
        <v>9.6827220262579949</v>
      </c>
      <c r="F23" s="30">
        <f t="shared" si="3"/>
        <v>9.8060107411819963</v>
      </c>
      <c r="G23" s="28">
        <v>9.8372925721115791</v>
      </c>
    </row>
    <row r="24" spans="2:7" ht="16.5" thickBot="1" x14ac:dyDescent="0.3">
      <c r="B24" s="27">
        <v>10</v>
      </c>
      <c r="C24" s="8">
        <f>Hoja1!N38</f>
        <v>9.7443663837199956</v>
      </c>
      <c r="D24" s="8">
        <f>Hoja1!P38</f>
        <v>6.1644357461999991E-2</v>
      </c>
      <c r="E24" s="30">
        <f t="shared" si="2"/>
        <v>9.6827220262579949</v>
      </c>
      <c r="F24" s="30">
        <f t="shared" si="3"/>
        <v>9.8060107411819963</v>
      </c>
      <c r="G24" s="28">
        <v>9.8372925721115791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Gráficas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 Lemon</dc:creator>
  <cp:keywords/>
  <dc:description/>
  <cp:lastModifiedBy>Mr. Lemon</cp:lastModifiedBy>
  <cp:revision/>
  <dcterms:created xsi:type="dcterms:W3CDTF">2026-04-02T17:31:38Z</dcterms:created>
  <dcterms:modified xsi:type="dcterms:W3CDTF">2026-04-05T16:16:03Z</dcterms:modified>
  <cp:category/>
  <cp:contentStatus/>
</cp:coreProperties>
</file>